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CT005-D12\ThucHanh03\"/>
    </mc:Choice>
  </mc:AlternateContent>
  <xr:revisionPtr revIDLastSave="0" documentId="13_ncr:1_{E71C1A96-9FB8-45B4-8E40-205D70992119}" xr6:coauthVersionLast="47" xr6:coauthVersionMax="47" xr10:uidLastSave="{00000000-0000-0000-0000-000000000000}"/>
  <bookViews>
    <workbookView xWindow="-120" yWindow="-120" windowWidth="20730" windowHeight="11040" xr2:uid="{FA19BF26-49B3-4F64-AC77-DED32147B1A8}"/>
  </bookViews>
  <sheets>
    <sheet name="Tổng hợp điểm" sheetId="1" r:id="rId1"/>
    <sheet name="Điểm thực hành các buổi" sheetId="2" r:id="rId2"/>
    <sheet name="Điểm bài tập lớn" sheetId="3" r:id="rId3"/>
    <sheet name="Điểm lý thuyết" sheetId="4" r:id="rId4"/>
    <sheet name="Các bảng tham chiếu &amp; Thống kê" sheetId="5" r:id="rId5"/>
    <sheet name="Sinh viên điểm &lt; 7" sheetId="8" r:id="rId6"/>
    <sheet name="Sinh viên điểm &gt;= 7" sheetId="9" r:id="rId7"/>
  </sheets>
  <definedNames>
    <definedName name="_xlnm._FilterDatabase" localSheetId="0" hidden="1">'Tổng hợp điểm'!$A$6:$K$45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1" l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H8" i="1"/>
  <c r="H9" i="1"/>
  <c r="H10" i="1"/>
  <c r="H11" i="1"/>
  <c r="H12" i="1"/>
  <c r="H13" i="1"/>
  <c r="H14" i="1"/>
  <c r="H15" i="1"/>
  <c r="I15" i="1" s="1"/>
  <c r="H16" i="1"/>
  <c r="H17" i="1"/>
  <c r="H18" i="1"/>
  <c r="H19" i="1"/>
  <c r="H20" i="1"/>
  <c r="H21" i="1"/>
  <c r="I21" i="1" s="1"/>
  <c r="H22" i="1"/>
  <c r="H23" i="1"/>
  <c r="H24" i="1"/>
  <c r="H25" i="1"/>
  <c r="I25" i="1" s="1"/>
  <c r="H26" i="1"/>
  <c r="H27" i="1"/>
  <c r="H28" i="1"/>
  <c r="H29" i="1"/>
  <c r="H30" i="1"/>
  <c r="H31" i="1"/>
  <c r="H32" i="1"/>
  <c r="H33" i="1"/>
  <c r="H34" i="1"/>
  <c r="H35" i="1"/>
  <c r="H36" i="1"/>
  <c r="I36" i="1" s="1"/>
  <c r="H37" i="1"/>
  <c r="H38" i="1"/>
  <c r="H39" i="1"/>
  <c r="I39" i="1" s="1"/>
  <c r="H40" i="1"/>
  <c r="H41" i="1"/>
  <c r="H42" i="1"/>
  <c r="H43" i="1"/>
  <c r="H44" i="1"/>
  <c r="H45" i="1"/>
  <c r="H7" i="1"/>
  <c r="G8" i="1"/>
  <c r="G9" i="1"/>
  <c r="G10" i="1"/>
  <c r="G11" i="1"/>
  <c r="G12" i="1"/>
  <c r="G13" i="1"/>
  <c r="G14" i="1"/>
  <c r="G15" i="1"/>
  <c r="J15" i="1" s="1"/>
  <c r="K15" i="1" s="1"/>
  <c r="G16" i="1"/>
  <c r="J16" i="1" s="1"/>
  <c r="K16" i="1" s="1"/>
  <c r="G17" i="1"/>
  <c r="G18" i="1"/>
  <c r="G19" i="1"/>
  <c r="G20" i="1"/>
  <c r="G21" i="1"/>
  <c r="J21" i="1" s="1"/>
  <c r="K21" i="1" s="1"/>
  <c r="G22" i="1"/>
  <c r="G23" i="1"/>
  <c r="G24" i="1"/>
  <c r="G25" i="1"/>
  <c r="J25" i="1" s="1"/>
  <c r="K25" i="1" s="1"/>
  <c r="G26" i="1"/>
  <c r="G27" i="1"/>
  <c r="G28" i="1"/>
  <c r="J28" i="1" s="1"/>
  <c r="K28" i="1" s="1"/>
  <c r="G29" i="1"/>
  <c r="G30" i="1"/>
  <c r="G31" i="1"/>
  <c r="G32" i="1"/>
  <c r="G33" i="1"/>
  <c r="G34" i="1"/>
  <c r="G35" i="1"/>
  <c r="J35" i="1" s="1"/>
  <c r="K35" i="1" s="1"/>
  <c r="G36" i="1"/>
  <c r="J36" i="1" s="1"/>
  <c r="K36" i="1" s="1"/>
  <c r="G37" i="1"/>
  <c r="G38" i="1"/>
  <c r="G39" i="1"/>
  <c r="J39" i="1" s="1"/>
  <c r="K39" i="1" s="1"/>
  <c r="G40" i="1"/>
  <c r="G41" i="1"/>
  <c r="J41" i="1" s="1"/>
  <c r="K41" i="1" s="1"/>
  <c r="G42" i="1"/>
  <c r="G43" i="1"/>
  <c r="G44" i="1"/>
  <c r="G45" i="1"/>
  <c r="G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I24" i="1" s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7" i="1"/>
  <c r="I37" i="1" l="1"/>
  <c r="I29" i="1"/>
  <c r="I13" i="1"/>
  <c r="I42" i="1"/>
  <c r="I34" i="1"/>
  <c r="J34" i="1" s="1"/>
  <c r="K34" i="1" s="1"/>
  <c r="I26" i="1"/>
  <c r="I18" i="1"/>
  <c r="I10" i="1"/>
  <c r="J10" i="1" s="1"/>
  <c r="K10" i="1" s="1"/>
  <c r="I41" i="1"/>
  <c r="I33" i="1"/>
  <c r="I17" i="1"/>
  <c r="I9" i="1"/>
  <c r="I40" i="1"/>
  <c r="I32" i="1"/>
  <c r="I16" i="1"/>
  <c r="I8" i="1"/>
  <c r="J8" i="1" s="1"/>
  <c r="K8" i="1" s="1"/>
  <c r="I45" i="1"/>
  <c r="J45" i="1" s="1"/>
  <c r="K45" i="1" s="1"/>
  <c r="J33" i="1"/>
  <c r="K33" i="1" s="1"/>
  <c r="J17" i="1"/>
  <c r="K17" i="1" s="1"/>
  <c r="J9" i="1"/>
  <c r="K9" i="1" s="1"/>
  <c r="J43" i="1"/>
  <c r="K43" i="1" s="1"/>
  <c r="J40" i="1"/>
  <c r="K40" i="1" s="1"/>
  <c r="J32" i="1"/>
  <c r="K32" i="1" s="1"/>
  <c r="J24" i="1"/>
  <c r="K24" i="1" s="1"/>
  <c r="I31" i="1"/>
  <c r="J31" i="1" s="1"/>
  <c r="K31" i="1" s="1"/>
  <c r="I23" i="1"/>
  <c r="J23" i="1" s="1"/>
  <c r="K23" i="1" s="1"/>
  <c r="I38" i="1"/>
  <c r="J38" i="1" s="1"/>
  <c r="K38" i="1" s="1"/>
  <c r="I30" i="1"/>
  <c r="J30" i="1" s="1"/>
  <c r="K30" i="1" s="1"/>
  <c r="I22" i="1"/>
  <c r="J22" i="1" s="1"/>
  <c r="K22" i="1" s="1"/>
  <c r="I14" i="1"/>
  <c r="J14" i="1" s="1"/>
  <c r="K14" i="1" s="1"/>
  <c r="F24" i="5"/>
  <c r="I44" i="1"/>
  <c r="I28" i="1"/>
  <c r="I20" i="1"/>
  <c r="I12" i="1"/>
  <c r="J12" i="1" s="1"/>
  <c r="K12" i="1" s="1"/>
  <c r="J27" i="1"/>
  <c r="K27" i="1" s="1"/>
  <c r="J44" i="1"/>
  <c r="K44" i="1" s="1"/>
  <c r="J20" i="1"/>
  <c r="K20" i="1" s="1"/>
  <c r="I43" i="1"/>
  <c r="I35" i="1"/>
  <c r="I27" i="1"/>
  <c r="I19" i="1"/>
  <c r="J19" i="1" s="1"/>
  <c r="K19" i="1" s="1"/>
  <c r="I11" i="1"/>
  <c r="J11" i="1" s="1"/>
  <c r="K11" i="1" s="1"/>
  <c r="J26" i="1"/>
  <c r="K26" i="1" s="1"/>
  <c r="J18" i="1"/>
  <c r="K18" i="1" s="1"/>
  <c r="J37" i="1"/>
  <c r="K37" i="1" s="1"/>
  <c r="J29" i="1"/>
  <c r="K29" i="1" s="1"/>
  <c r="J13" i="1"/>
  <c r="K13" i="1" s="1"/>
  <c r="J42" i="1"/>
  <c r="K42" i="1" s="1"/>
  <c r="I7" i="1"/>
  <c r="J7" i="1" s="1"/>
  <c r="K7" i="1" l="1"/>
  <c r="F27" i="5"/>
  <c r="F15" i="5" l="1"/>
  <c r="F14" i="5"/>
  <c r="F16" i="5"/>
  <c r="F18" i="5"/>
  <c r="F17" i="5"/>
  <c r="F19" i="5"/>
  <c r="F20" i="5"/>
  <c r="F21" i="5"/>
</calcChain>
</file>

<file path=xl/sharedStrings.xml><?xml version="1.0" encoding="utf-8"?>
<sst xmlns="http://schemas.openxmlformats.org/spreadsheetml/2006/main" count="561" uniqueCount="161">
  <si>
    <t>ĐIỂM THI HK1-2018-2019 (CT428)</t>
  </si>
  <si>
    <t>Ma CB</t>
  </si>
  <si>
    <t>Ma MH</t>
  </si>
  <si>
    <t>Nam hoc</t>
  </si>
  <si>
    <t>Ho va ten</t>
  </si>
  <si>
    <t>Nguyen Minh Trung</t>
  </si>
  <si>
    <t>Ma NH</t>
  </si>
  <si>
    <t>Hoc ky</t>
  </si>
  <si>
    <t>CT428</t>
  </si>
  <si>
    <t>2020-2021</t>
  </si>
  <si>
    <t>STT</t>
  </si>
  <si>
    <t>Mã SV</t>
  </si>
  <si>
    <t>Họ và Tên</t>
  </si>
  <si>
    <t>Điểm TH 1</t>
  </si>
  <si>
    <t>Điểm TH 2</t>
  </si>
  <si>
    <t>Điểm TH 3</t>
  </si>
  <si>
    <t>Điểm BT lớn</t>
  </si>
  <si>
    <t>Điểm LT</t>
  </si>
  <si>
    <t>Điểm tổng</t>
  </si>
  <si>
    <t>Điểm theo thang điểm 10</t>
  </si>
  <si>
    <t>Điểm chữ</t>
  </si>
  <si>
    <t>0B1505719</t>
  </si>
  <si>
    <t>1B1505915</t>
  </si>
  <si>
    <t>0B1509874</t>
  </si>
  <si>
    <t>0B1509929</t>
  </si>
  <si>
    <t>2B1605223</t>
  </si>
  <si>
    <t>0B1605249</t>
  </si>
  <si>
    <t>0B1605285</t>
  </si>
  <si>
    <t>0B1605291</t>
  </si>
  <si>
    <t>1B1605344</t>
  </si>
  <si>
    <t>4B1607025</t>
  </si>
  <si>
    <t>2B1609759</t>
  </si>
  <si>
    <t>5B1609765</t>
  </si>
  <si>
    <t>0B1609773</t>
  </si>
  <si>
    <t>0B1605235</t>
  </si>
  <si>
    <t>Điểm thực hành các buổi</t>
  </si>
  <si>
    <t>B1505719</t>
  </si>
  <si>
    <t>B1505915</t>
  </si>
  <si>
    <t>B1509874</t>
  </si>
  <si>
    <t>B1509929</t>
  </si>
  <si>
    <t>B1605223</t>
  </si>
  <si>
    <t>B1605235</t>
  </si>
  <si>
    <t>B1605249</t>
  </si>
  <si>
    <t>B1605285</t>
  </si>
  <si>
    <t>B1605291</t>
  </si>
  <si>
    <t>B1605344</t>
  </si>
  <si>
    <t>B1607025</t>
  </si>
  <si>
    <t>B1609759</t>
  </si>
  <si>
    <t>B1609765</t>
  </si>
  <si>
    <t>B1609773</t>
  </si>
  <si>
    <t>Lý Minh Trí</t>
  </si>
  <si>
    <t>Nguyễn Kiều Mi</t>
  </si>
  <si>
    <t>Đặng Duy Linh</t>
  </si>
  <si>
    <t>Lê Thị Trúc Linh</t>
  </si>
  <si>
    <t>Lê Minh Thông</t>
  </si>
  <si>
    <t>Nguyễn Chí Thanh</t>
  </si>
  <si>
    <t>Nguyễn Hải Anh</t>
  </si>
  <si>
    <t>Trần Nam Dương</t>
  </si>
  <si>
    <t>Điểm BL lớn</t>
  </si>
  <si>
    <t>Điểm bài tập lớn</t>
  </si>
  <si>
    <t>Điểm lý thuyết</t>
  </si>
  <si>
    <t>Bảng quy đổi điểm</t>
  </si>
  <si>
    <t>Điểm theo thang điểm 4</t>
  </si>
  <si>
    <t>Bảng Điểm Chuyên cần</t>
  </si>
  <si>
    <t>Số buổi vắng</t>
  </si>
  <si>
    <t>Điểm CT</t>
  </si>
  <si>
    <t>A</t>
  </si>
  <si>
    <t>B+</t>
  </si>
  <si>
    <t>C+</t>
  </si>
  <si>
    <t xml:space="preserve">C </t>
  </si>
  <si>
    <t xml:space="preserve">B </t>
  </si>
  <si>
    <t>D+</t>
  </si>
  <si>
    <t xml:space="preserve">D </t>
  </si>
  <si>
    <t>F</t>
  </si>
  <si>
    <t>Danh sách Sinh viên</t>
  </si>
  <si>
    <t>Bảng thống kê theo điểm chữ</t>
  </si>
  <si>
    <t>Số lượng sinh viên</t>
  </si>
  <si>
    <t>Bảng thống kê SV</t>
  </si>
  <si>
    <t>Số sinh viên điểm BT lớn = 0 hoặc điểm LT = -3</t>
  </si>
  <si>
    <t>Số SV nghỉ TH &gt; 2</t>
  </si>
  <si>
    <t>0B1605257</t>
  </si>
  <si>
    <t>3B1605281</t>
  </si>
  <si>
    <t>0B1606845</t>
  </si>
  <si>
    <t>0B1607017</t>
  </si>
  <si>
    <t>0B1609533</t>
  </si>
  <si>
    <t>0B1609762</t>
  </si>
  <si>
    <t>0B1704708</t>
  </si>
  <si>
    <t>1B1706550</t>
  </si>
  <si>
    <t>0B1706555</t>
  </si>
  <si>
    <t>2B1706560</t>
  </si>
  <si>
    <t>1B1706589</t>
  </si>
  <si>
    <t>0B1706597</t>
  </si>
  <si>
    <t>0B1706606</t>
  </si>
  <si>
    <t>0B1706610</t>
  </si>
  <si>
    <t>0B1706626</t>
  </si>
  <si>
    <t>3B1706630</t>
  </si>
  <si>
    <t>0B1706633</t>
  </si>
  <si>
    <t>0B1706641</t>
  </si>
  <si>
    <t>3B1706643</t>
  </si>
  <si>
    <t>1B1706655</t>
  </si>
  <si>
    <t>0B1706666</t>
  </si>
  <si>
    <t>1B1706877</t>
  </si>
  <si>
    <t>0B1706892</t>
  </si>
  <si>
    <t>0B1709289</t>
  </si>
  <si>
    <t>1B1709313</t>
  </si>
  <si>
    <t>Nguyễn Phước Hiếu</t>
  </si>
  <si>
    <t>Phạm Thị Huỳnh Như</t>
  </si>
  <si>
    <t>B1605257</t>
  </si>
  <si>
    <t>Quách Thu Vân</t>
  </si>
  <si>
    <t>B1605281</t>
  </si>
  <si>
    <t>Trần Thị Kim Khoa</t>
  </si>
  <si>
    <t>Huỳnh Thị Hồng Loan</t>
  </si>
  <si>
    <t>Trần Thị Thanh Nguyên</t>
  </si>
  <si>
    <t>Nguyễn Thị Thúy Nga</t>
  </si>
  <si>
    <t>B1606845</t>
  </si>
  <si>
    <t>Vũ Mạnh Thắng</t>
  </si>
  <si>
    <t>B1607017</t>
  </si>
  <si>
    <t>Cao Ngọc Quyên</t>
  </si>
  <si>
    <t>B1609533</t>
  </si>
  <si>
    <t>Nguyễn Bích Ngân</t>
  </si>
  <si>
    <t>B1609762</t>
  </si>
  <si>
    <t>Nguyễn Hoàng Châu</t>
  </si>
  <si>
    <t>Đào Nguyễn Duy Khanh</t>
  </si>
  <si>
    <t>B1704708</t>
  </si>
  <si>
    <t>Ngô Hùng Vĩ</t>
  </si>
  <si>
    <t>B1706550</t>
  </si>
  <si>
    <t>Lê Thanh Tùng</t>
  </si>
  <si>
    <t>B1706555</t>
  </si>
  <si>
    <t>Lê Hồng Quốc Vương</t>
  </si>
  <si>
    <t>B1706560</t>
  </si>
  <si>
    <t>Huỳnh Hoàng Ẩn</t>
  </si>
  <si>
    <t>B1706589</t>
  </si>
  <si>
    <t>Hồ Thị Mỷ Huyền</t>
  </si>
  <si>
    <t>B1706597</t>
  </si>
  <si>
    <t>Đặng Trung Kiên</t>
  </si>
  <si>
    <t>B1706606</t>
  </si>
  <si>
    <t>Ngụy Hữu Lộc</t>
  </si>
  <si>
    <t>B1706610</t>
  </si>
  <si>
    <t>Nguyễn Trà Mi</t>
  </si>
  <si>
    <t>B1706626</t>
  </si>
  <si>
    <t>Lại Ngọc Hoàng Phi</t>
  </si>
  <si>
    <t>B1706630</t>
  </si>
  <si>
    <t>Nguyễn Khắc Minh Phúc</t>
  </si>
  <si>
    <t>B1706633</t>
  </si>
  <si>
    <t>Trần Thị Hoàng Quyên</t>
  </si>
  <si>
    <t>B1706641</t>
  </si>
  <si>
    <t>Trương Quốc Thái</t>
  </si>
  <si>
    <t>B1706643</t>
  </si>
  <si>
    <t>Nguyễn Thị Phương Thảo</t>
  </si>
  <si>
    <t>B1706655</t>
  </si>
  <si>
    <t>Nguyễn Chí Tôn</t>
  </si>
  <si>
    <t>B1706666</t>
  </si>
  <si>
    <t>Trịnh Uyên</t>
  </si>
  <si>
    <t>B1706877</t>
  </si>
  <si>
    <t>Nguyễn Anh Thư</t>
  </si>
  <si>
    <t>B1706892</t>
  </si>
  <si>
    <t>Huỳnh Lê Tỷ</t>
  </si>
  <si>
    <t>B1709289</t>
  </si>
  <si>
    <t>Nguyễn Ngọc Luyến</t>
  </si>
  <si>
    <t>B1709313</t>
  </si>
  <si>
    <t>Võ Thị Thùy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</si>
</sst>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rial"/>
      <family val="2"/>
      <charset val="163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  <scheme val="major"/>
    </font>
    <font>
      <b/>
      <sz val="12"/>
      <color theme="1"/>
      <name val="Times New Roman"/>
      <family val="1"/>
      <scheme val="major"/>
    </font>
    <font>
      <b/>
      <sz val="12"/>
      <color rgb="FF002060"/>
      <name val="Times New Roman"/>
      <family val="1"/>
      <scheme val="major"/>
    </font>
    <font>
      <sz val="12"/>
      <color rgb="FF002060"/>
      <name val="Times New Roman"/>
      <family val="1"/>
      <scheme val="major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textRotation="255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6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5" fillId="5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Fill="1" applyBorder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4" xfId="0" applyFont="1" applyBorder="1"/>
    <xf numFmtId="0" fontId="1" fillId="0" borderId="2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2" fillId="2" borderId="6" xfId="0" applyFont="1" applyFill="1" applyBorder="1" applyAlignment="1">
      <alignment horizontal="center" vertical="center" textRotation="255" wrapText="1"/>
    </xf>
    <xf numFmtId="0" fontId="2" fillId="2" borderId="6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Thống kê tổng số lượng Sinh viên theo điểm chữ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'Các bảng tham chiếu &amp; Thống kê'!$F$13</c:f>
              <c:strCache>
                <c:ptCount val="1"/>
                <c:pt idx="0">
                  <c:v>Số lượng sinh viên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8757-4A82-9ECC-BEA1BE1BA0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5E8-4116-A14A-C8DD2237E7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8757-4A82-9ECC-BEA1BE1BA0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75E8-4116-A14A-C8DD2237E75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75E8-4116-A14A-C8DD2237E75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757-4A82-9ECC-BEA1BE1BA0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757-4A82-9ECC-BEA1BE1BA0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75E8-4116-A14A-C8DD2237E758}"/>
              </c:ext>
            </c:extLst>
          </c:dPt>
          <c:dLbls>
            <c:dLbl>
              <c:idx val="0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757-4A82-9ECC-BEA1BE1BA00D}"/>
                </c:ext>
              </c:extLst>
            </c:dLbl>
            <c:dLbl>
              <c:idx val="6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57-4A82-9ECC-BEA1BE1BA00D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eparator>. 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'Các bảng tham chiếu &amp; Thống kê'!$E$14:$E$21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 </c:v>
                </c:pt>
                <c:pt idx="3">
                  <c:v>C+</c:v>
                </c:pt>
                <c:pt idx="4">
                  <c:v>C </c:v>
                </c:pt>
                <c:pt idx="5">
                  <c:v>D+</c:v>
                </c:pt>
                <c:pt idx="6">
                  <c:v>D </c:v>
                </c:pt>
                <c:pt idx="7">
                  <c:v>F</c:v>
                </c:pt>
              </c:strCache>
            </c:strRef>
          </c:cat>
          <c:val>
            <c:numRef>
              <c:f>'Các bảng tham chiếu &amp; Thống kê'!$F$14:$F$21</c:f>
              <c:numCache>
                <c:formatCode>General</c:formatCode>
                <c:ptCount val="8"/>
                <c:pt idx="0">
                  <c:v>1</c:v>
                </c:pt>
                <c:pt idx="1">
                  <c:v>5</c:v>
                </c:pt>
                <c:pt idx="2">
                  <c:v>7</c:v>
                </c:pt>
                <c:pt idx="3">
                  <c:v>6</c:v>
                </c:pt>
                <c:pt idx="4">
                  <c:v>9</c:v>
                </c:pt>
                <c:pt idx="5">
                  <c:v>1</c:v>
                </c:pt>
                <c:pt idx="6">
                  <c:v>1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7-4A82-9ECC-BEA1BE1BA00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581461761757561"/>
          <c:y val="0.34618970097213686"/>
          <c:w val="0.11971576506582442"/>
          <c:h val="0.5236071162916673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13608</xdr:colOff>
      <xdr:row>1</xdr:row>
      <xdr:rowOff>0</xdr:rowOff>
    </xdr:from>
    <xdr:to>
      <xdr:col>13</xdr:col>
      <xdr:colOff>324069</xdr:colOff>
      <xdr:row>16</xdr:row>
      <xdr:rowOff>14173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685D9F-863F-437A-BFB2-72C714DB1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1B2D-151A-4A3A-9410-7E93996FD847}">
  <dimension ref="A1:K45"/>
  <sheetViews>
    <sheetView tabSelected="1" topLeftCell="A5" zoomScale="79" zoomScaleNormal="85" workbookViewId="0">
      <pane xSplit="3" ySplit="2" topLeftCell="D7" activePane="bottomRight" state="frozen"/>
      <selection activeCell="A5" sqref="A5"/>
      <selection pane="topRight" activeCell="D5" sqref="D5"/>
      <selection pane="bottomLeft" activeCell="A7" sqref="A7"/>
      <selection pane="bottomRight" activeCell="L8" sqref="L8"/>
    </sheetView>
  </sheetViews>
  <sheetFormatPr defaultRowHeight="15.75" x14ac:dyDescent="0.2"/>
  <cols>
    <col min="1" max="1" width="5" style="3" customWidth="1"/>
    <col min="2" max="2" width="11" style="2" customWidth="1"/>
    <col min="3" max="3" width="24" style="2" customWidth="1"/>
    <col min="4" max="5" width="6.375" style="2" customWidth="1"/>
    <col min="6" max="8" width="6" style="2" customWidth="1"/>
    <col min="9" max="9" width="9.125" style="2" customWidth="1"/>
    <col min="10" max="11" width="6.75" style="2" customWidth="1"/>
    <col min="12" max="16384" width="9" style="2"/>
  </cols>
  <sheetData>
    <row r="1" spans="1:11" x14ac:dyDescent="0.2">
      <c r="A1" s="5"/>
      <c r="B1" s="51" t="s">
        <v>0</v>
      </c>
      <c r="C1" s="51"/>
      <c r="D1" s="51"/>
      <c r="E1" s="51"/>
      <c r="F1" s="51"/>
      <c r="G1" s="51"/>
      <c r="H1" s="51"/>
      <c r="I1" s="6"/>
      <c r="J1" s="6"/>
      <c r="K1" s="6"/>
    </row>
    <row r="2" spans="1:11" x14ac:dyDescent="0.2">
      <c r="A2" s="5"/>
      <c r="B2" s="7" t="s">
        <v>1</v>
      </c>
      <c r="C2" s="7">
        <v>1043</v>
      </c>
      <c r="D2" s="52" t="s">
        <v>4</v>
      </c>
      <c r="E2" s="52"/>
      <c r="F2" s="52" t="s">
        <v>5</v>
      </c>
      <c r="G2" s="52"/>
      <c r="H2" s="52"/>
      <c r="I2" s="6"/>
      <c r="J2" s="6"/>
      <c r="K2" s="6"/>
    </row>
    <row r="3" spans="1:11" x14ac:dyDescent="0.2">
      <c r="A3" s="5"/>
      <c r="B3" s="7" t="s">
        <v>2</v>
      </c>
      <c r="C3" s="7" t="s">
        <v>8</v>
      </c>
      <c r="D3" s="52" t="s">
        <v>6</v>
      </c>
      <c r="E3" s="52"/>
      <c r="F3" s="52">
        <v>8</v>
      </c>
      <c r="G3" s="52"/>
      <c r="H3" s="52"/>
      <c r="I3" s="6"/>
      <c r="J3" s="6"/>
      <c r="K3" s="6"/>
    </row>
    <row r="4" spans="1:11" x14ac:dyDescent="0.2">
      <c r="A4" s="5"/>
      <c r="B4" s="7" t="s">
        <v>3</v>
      </c>
      <c r="C4" s="7" t="s">
        <v>9</v>
      </c>
      <c r="D4" s="52" t="s">
        <v>7</v>
      </c>
      <c r="E4" s="52"/>
      <c r="F4" s="52">
        <v>1</v>
      </c>
      <c r="G4" s="52"/>
      <c r="H4" s="52"/>
      <c r="I4" s="6"/>
      <c r="J4" s="6"/>
      <c r="K4" s="6"/>
    </row>
    <row r="5" spans="1:11" x14ac:dyDescent="0.2">
      <c r="A5" s="5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s="4" customFormat="1" ht="78.75" x14ac:dyDescent="0.2">
      <c r="A6" s="8" t="s">
        <v>10</v>
      </c>
      <c r="B6" s="37" t="s">
        <v>11</v>
      </c>
      <c r="C6" s="37" t="s">
        <v>12</v>
      </c>
      <c r="D6" s="9" t="s">
        <v>13</v>
      </c>
      <c r="E6" s="9" t="s">
        <v>14</v>
      </c>
      <c r="F6" s="9" t="s">
        <v>15</v>
      </c>
      <c r="G6" s="9" t="s">
        <v>16</v>
      </c>
      <c r="H6" s="9" t="s">
        <v>17</v>
      </c>
      <c r="I6" s="9" t="s">
        <v>18</v>
      </c>
      <c r="J6" s="9" t="s">
        <v>19</v>
      </c>
      <c r="K6" s="9" t="s">
        <v>20</v>
      </c>
    </row>
    <row r="7" spans="1:11" x14ac:dyDescent="0.2">
      <c r="A7" s="41">
        <v>1</v>
      </c>
      <c r="B7" s="42" t="s">
        <v>21</v>
      </c>
      <c r="C7" s="6" t="str">
        <f>VLOOKUP(RIGHT(B7, 8), 'Các bảng tham chiếu &amp; Thống kê'!$B$14:$C$52, 2, FALSE)</f>
        <v>Nguyễn Phước Hiếu</v>
      </c>
      <c r="D7" s="38">
        <f>VLOOKUP(RIGHT(B7, 8), 'Điểm thực hành các buổi'!$B$3:$F$41, 3, FALSE)</f>
        <v>0.45</v>
      </c>
      <c r="E7" s="45">
        <f>VLOOKUP(RIGHT(B7, 8), 'Điểm thực hành các buổi'!$B$3:$F$41, 4, FALSE)</f>
        <v>0.25</v>
      </c>
      <c r="F7" s="38">
        <f>VLOOKUP(RIGHT(B7, 8), 'Điểm thực hành các buổi'!$B$3:$F$41, 5, FALSE)</f>
        <v>0.3</v>
      </c>
      <c r="G7" s="38">
        <f>VLOOKUP(RIGHT(B7, 8), 'Điểm bài tập lớn'!$B$3:$D$41, 3, FALSE)</f>
        <v>0.5</v>
      </c>
      <c r="H7" s="38">
        <f>VLOOKUP(RIGHT(B7, 8), 'Điểm lý thuyết'!$B$3:$D$41, 3, FALSE)</f>
        <v>4.2</v>
      </c>
      <c r="I7" s="34">
        <f>ROUND(IF(H7=-3, 0, D7+E7+F7+G7+0.6*H7), 1)</f>
        <v>4</v>
      </c>
      <c r="J7" s="38">
        <f>ROUND(IF(OR(G7=0, VALUE(LEFT(B7,1))&gt;2), 0, I7 + VLOOKUP(VALUE(LEFT(B7,1)), 'Các bảng tham chiếu &amp; Thống kê'!$E$3:$F$5, 2, FALSE)), 1)</f>
        <v>5</v>
      </c>
      <c r="K7" s="38" t="str">
        <f>VLOOKUP(J7, 'Các bảng tham chiếu &amp; Thống kê'!$A$3:$B$10, 2, TRUE)</f>
        <v>D+</v>
      </c>
    </row>
    <row r="8" spans="1:11" x14ac:dyDescent="0.2">
      <c r="A8" s="41">
        <v>2</v>
      </c>
      <c r="B8" s="42" t="s">
        <v>22</v>
      </c>
      <c r="C8" s="6" t="str">
        <f>VLOOKUP(RIGHT(B8, 8), 'Các bảng tham chiếu &amp; Thống kê'!$B$14:$C$52, 2, FALSE)</f>
        <v>Lý Minh Trí</v>
      </c>
      <c r="D8" s="38">
        <f>VLOOKUP(RIGHT(B8, 8), 'Điểm thực hành các buổi'!$B$3:$F$41, 3, FALSE)</f>
        <v>0.5</v>
      </c>
      <c r="E8" s="45">
        <f>VLOOKUP(RIGHT(B8, 8), 'Điểm thực hành các buổi'!$B$3:$F$41, 4, FALSE)</f>
        <v>0.35</v>
      </c>
      <c r="F8" s="38">
        <f>VLOOKUP(RIGHT(B8, 8), 'Điểm thực hành các buổi'!$B$3:$F$41, 5, FALSE)</f>
        <v>0.4</v>
      </c>
      <c r="G8" s="38">
        <f>VLOOKUP(RIGHT(B8, 8), 'Điểm bài tập lớn'!$B$3:$D$41, 3, FALSE)</f>
        <v>1</v>
      </c>
      <c r="H8" s="38">
        <f>VLOOKUP(RIGHT(B8, 8), 'Điểm lý thuyết'!$B$3:$D$41, 3, FALSE)</f>
        <v>5.8</v>
      </c>
      <c r="I8" s="34">
        <f t="shared" ref="I8:I45" si="0">ROUND(IF(H8=-3, 0, D8+E8+F8+G8+0.6*H8), 1)</f>
        <v>5.7</v>
      </c>
      <c r="J8" s="38">
        <f>ROUND(IF(OR(G8=0, VALUE(LEFT(B8,1))&gt;2), 0, I8 + VLOOKUP(VALUE(LEFT(B8,1)), 'Các bảng tham chiếu &amp; Thống kê'!$E$3:$F$5, 2, FALSE)), 1)</f>
        <v>6.2</v>
      </c>
      <c r="K8" s="38" t="str">
        <f>VLOOKUP(J8, 'Các bảng tham chiếu &amp; Thống kê'!$A$3:$B$10, 2, TRUE)</f>
        <v xml:space="preserve">C </v>
      </c>
    </row>
    <row r="9" spans="1:11" x14ac:dyDescent="0.2">
      <c r="A9" s="41">
        <v>3</v>
      </c>
      <c r="B9" s="42" t="s">
        <v>23</v>
      </c>
      <c r="C9" s="6" t="str">
        <f>VLOOKUP(RIGHT(B9, 8), 'Các bảng tham chiếu &amp; Thống kê'!$B$14:$C$52, 2, FALSE)</f>
        <v>Nguyễn Kiều Mi</v>
      </c>
      <c r="D9" s="38">
        <f>VLOOKUP(RIGHT(B9, 8), 'Điểm thực hành các buổi'!$B$3:$F$41, 3, FALSE)</f>
        <v>0.25</v>
      </c>
      <c r="E9" s="45">
        <f>VLOOKUP(RIGHT(B9, 8), 'Điểm thực hành các buổi'!$B$3:$F$41, 4, FALSE)</f>
        <v>0.25</v>
      </c>
      <c r="F9" s="38">
        <f>VLOOKUP(RIGHT(B9, 8), 'Điểm thực hành các buổi'!$B$3:$F$41, 5, FALSE)</f>
        <v>0.3</v>
      </c>
      <c r="G9" s="38">
        <f>VLOOKUP(RIGHT(B9, 8), 'Điểm bài tập lớn'!$B$3:$D$41, 3, FALSE)</f>
        <v>0.5</v>
      </c>
      <c r="H9" s="38">
        <f>VLOOKUP(RIGHT(B9, 8), 'Điểm lý thuyết'!$B$3:$D$41, 3, FALSE)</f>
        <v>5.8</v>
      </c>
      <c r="I9" s="34">
        <f t="shared" si="0"/>
        <v>4.8</v>
      </c>
      <c r="J9" s="38">
        <f>ROUND(IF(OR(G9=0, VALUE(LEFT(B9,1))&gt;2), 0, I9 + VLOOKUP(VALUE(LEFT(B9,1)), 'Các bảng tham chiếu &amp; Thống kê'!$E$3:$F$5, 2, FALSE)), 1)</f>
        <v>5.8</v>
      </c>
      <c r="K9" s="38" t="str">
        <f>VLOOKUP(J9, 'Các bảng tham chiếu &amp; Thống kê'!$A$3:$B$10, 2, TRUE)</f>
        <v xml:space="preserve">C </v>
      </c>
    </row>
    <row r="10" spans="1:11" x14ac:dyDescent="0.2">
      <c r="A10" s="41">
        <v>4</v>
      </c>
      <c r="B10" s="42" t="s">
        <v>24</v>
      </c>
      <c r="C10" s="6" t="str">
        <f>VLOOKUP(RIGHT(B10, 8), 'Các bảng tham chiếu &amp; Thống kê'!$B$14:$C$52, 2, FALSE)</f>
        <v>Đặng Duy Linh</v>
      </c>
      <c r="D10" s="38">
        <f>VLOOKUP(RIGHT(B10, 8), 'Điểm thực hành các buổi'!$B$3:$F$41, 3, FALSE)</f>
        <v>0.4</v>
      </c>
      <c r="E10" s="45">
        <f>VLOOKUP(RIGHT(B10, 8), 'Điểm thực hành các buổi'!$B$3:$F$41, 4, FALSE)</f>
        <v>0.25</v>
      </c>
      <c r="F10" s="38">
        <f>VLOOKUP(RIGHT(B10, 8), 'Điểm thực hành các buổi'!$B$3:$F$41, 5, FALSE)</f>
        <v>0.35</v>
      </c>
      <c r="G10" s="38">
        <f>VLOOKUP(RIGHT(B10, 8), 'Điểm bài tập lớn'!$B$3:$D$41, 3, FALSE)</f>
        <v>1</v>
      </c>
      <c r="H10" s="38">
        <f>VLOOKUP(RIGHT(B10, 8), 'Điểm lý thuyết'!$B$3:$D$41, 3, FALSE)</f>
        <v>4.5</v>
      </c>
      <c r="I10" s="34">
        <f t="shared" si="0"/>
        <v>4.7</v>
      </c>
      <c r="J10" s="38">
        <f>ROUND(IF(OR(G10=0, VALUE(LEFT(B10,1))&gt;2), 0, I10 + VLOOKUP(VALUE(LEFT(B10,1)), 'Các bảng tham chiếu &amp; Thống kê'!$E$3:$F$5, 2, FALSE)), 1)</f>
        <v>5.7</v>
      </c>
      <c r="K10" s="38" t="str">
        <f>VLOOKUP(J10, 'Các bảng tham chiếu &amp; Thống kê'!$A$3:$B$10, 2, TRUE)</f>
        <v xml:space="preserve">C </v>
      </c>
    </row>
    <row r="11" spans="1:11" x14ac:dyDescent="0.2">
      <c r="A11" s="41">
        <v>5</v>
      </c>
      <c r="B11" s="42" t="s">
        <v>25</v>
      </c>
      <c r="C11" s="6" t="str">
        <f>VLOOKUP(RIGHT(B11, 8), 'Các bảng tham chiếu &amp; Thống kê'!$B$14:$C$52, 2, FALSE)</f>
        <v>Lê Thị Trúc Linh</v>
      </c>
      <c r="D11" s="38">
        <f>VLOOKUP(RIGHT(B11, 8), 'Điểm thực hành các buổi'!$B$3:$F$41, 3, FALSE)</f>
        <v>0.45</v>
      </c>
      <c r="E11" s="45">
        <f>VLOOKUP(RIGHT(B11, 8), 'Điểm thực hành các buổi'!$B$3:$F$41, 4, FALSE)</f>
        <v>0.4</v>
      </c>
      <c r="F11" s="38">
        <f>VLOOKUP(RIGHT(B11, 8), 'Điểm thực hành các buổi'!$B$3:$F$41, 5, FALSE)</f>
        <v>0.35</v>
      </c>
      <c r="G11" s="38">
        <f>VLOOKUP(RIGHT(B11, 8), 'Điểm bài tập lớn'!$B$3:$D$41, 3, FALSE)</f>
        <v>0.75</v>
      </c>
      <c r="H11" s="38">
        <f>VLOOKUP(RIGHT(B11, 8), 'Điểm lý thuyết'!$B$3:$D$41, 3, FALSE)</f>
        <v>5.5</v>
      </c>
      <c r="I11" s="34">
        <f t="shared" si="0"/>
        <v>5.3</v>
      </c>
      <c r="J11" s="38">
        <f>ROUND(IF(OR(G11=0, VALUE(LEFT(B11,1))&gt;2), 0, I11 + VLOOKUP(VALUE(LEFT(B11,1)), 'Các bảng tham chiếu &amp; Thống kê'!$E$3:$F$5, 2, FALSE)), 1)</f>
        <v>5.6</v>
      </c>
      <c r="K11" s="38" t="str">
        <f>VLOOKUP(J11, 'Các bảng tham chiếu &amp; Thống kê'!$A$3:$B$10, 2, TRUE)</f>
        <v xml:space="preserve">C </v>
      </c>
    </row>
    <row r="12" spans="1:11" x14ac:dyDescent="0.2">
      <c r="A12" s="41">
        <v>6</v>
      </c>
      <c r="B12" s="42" t="s">
        <v>34</v>
      </c>
      <c r="C12" s="6" t="str">
        <f>VLOOKUP(RIGHT(B12, 8), 'Các bảng tham chiếu &amp; Thống kê'!$B$14:$C$52, 2, FALSE)</f>
        <v>Phạm Thị Huỳnh Như</v>
      </c>
      <c r="D12" s="38">
        <f>VLOOKUP(RIGHT(B12, 8), 'Điểm thực hành các buổi'!$B$3:$F$41, 3, FALSE)</f>
        <v>0.4</v>
      </c>
      <c r="E12" s="45">
        <f>VLOOKUP(RIGHT(B12, 8), 'Điểm thực hành các buổi'!$B$3:$F$41, 4, FALSE)</f>
        <v>0.45</v>
      </c>
      <c r="F12" s="38">
        <f>VLOOKUP(RIGHT(B12, 8), 'Điểm thực hành các buổi'!$B$3:$F$41, 5, FALSE)</f>
        <v>0.5</v>
      </c>
      <c r="G12" s="38">
        <f>VLOOKUP(RIGHT(B12, 8), 'Điểm bài tập lớn'!$B$3:$D$41, 3, FALSE)</f>
        <v>1.2</v>
      </c>
      <c r="H12" s="38">
        <f>VLOOKUP(RIGHT(B12, 8), 'Điểm lý thuyết'!$B$3:$D$41, 3, FALSE)</f>
        <v>7.5</v>
      </c>
      <c r="I12" s="34">
        <f t="shared" si="0"/>
        <v>7.1</v>
      </c>
      <c r="J12" s="38">
        <f>ROUND(IF(OR(G12=0, VALUE(LEFT(B12,1))&gt;2), 0, I12 + VLOOKUP(VALUE(LEFT(B12,1)), 'Các bảng tham chiếu &amp; Thống kê'!$E$3:$F$5, 2, FALSE)), 1)</f>
        <v>8.1</v>
      </c>
      <c r="K12" s="38" t="str">
        <f>VLOOKUP(J12, 'Các bảng tham chiếu &amp; Thống kê'!$A$3:$B$10, 2, TRUE)</f>
        <v>B+</v>
      </c>
    </row>
    <row r="13" spans="1:11" x14ac:dyDescent="0.2">
      <c r="A13" s="41">
        <v>7</v>
      </c>
      <c r="B13" s="42" t="s">
        <v>26</v>
      </c>
      <c r="C13" s="6" t="str">
        <f>VLOOKUP(RIGHT(B13, 8), 'Các bảng tham chiếu &amp; Thống kê'!$B$14:$C$52, 2, FALSE)</f>
        <v>Lê Minh Thông</v>
      </c>
      <c r="D13" s="38">
        <f>VLOOKUP(RIGHT(B13, 8), 'Điểm thực hành các buổi'!$B$3:$F$41, 3, FALSE)</f>
        <v>0.4</v>
      </c>
      <c r="E13" s="45">
        <f>VLOOKUP(RIGHT(B13, 8), 'Điểm thực hành các buổi'!$B$3:$F$41, 4, FALSE)</f>
        <v>0.4</v>
      </c>
      <c r="F13" s="38">
        <f>VLOOKUP(RIGHT(B13, 8), 'Điểm thực hành các buổi'!$B$3:$F$41, 5, FALSE)</f>
        <v>0.4</v>
      </c>
      <c r="G13" s="38">
        <f>VLOOKUP(RIGHT(B13, 8), 'Điểm bài tập lớn'!$B$3:$D$41, 3, FALSE)</f>
        <v>1</v>
      </c>
      <c r="H13" s="38">
        <f>VLOOKUP(RIGHT(B13, 8), 'Điểm lý thuyết'!$B$3:$D$41, 3, FALSE)</f>
        <v>5.3</v>
      </c>
      <c r="I13" s="34">
        <f t="shared" si="0"/>
        <v>5.4</v>
      </c>
      <c r="J13" s="38">
        <f>ROUND(IF(OR(G13=0, VALUE(LEFT(B13,1))&gt;2), 0, I13 + VLOOKUP(VALUE(LEFT(B13,1)), 'Các bảng tham chiếu &amp; Thống kê'!$E$3:$F$5, 2, FALSE)), 1)</f>
        <v>6.4</v>
      </c>
      <c r="K13" s="38" t="str">
        <f>VLOOKUP(J13, 'Các bảng tham chiếu &amp; Thống kê'!$A$3:$B$10, 2, TRUE)</f>
        <v xml:space="preserve">C </v>
      </c>
    </row>
    <row r="14" spans="1:11" x14ac:dyDescent="0.2">
      <c r="A14" s="41">
        <v>8</v>
      </c>
      <c r="B14" s="42" t="s">
        <v>80</v>
      </c>
      <c r="C14" s="6" t="str">
        <f>VLOOKUP(RIGHT(B14, 8), 'Các bảng tham chiếu &amp; Thống kê'!$B$14:$C$52, 2, FALSE)</f>
        <v>Quách Thu Vân</v>
      </c>
      <c r="D14" s="38">
        <f>VLOOKUP(RIGHT(B14, 8), 'Điểm thực hành các buổi'!$B$3:$F$41, 3, FALSE)</f>
        <v>0.45</v>
      </c>
      <c r="E14" s="45">
        <f>VLOOKUP(RIGHT(B14, 8), 'Điểm thực hành các buổi'!$B$3:$F$41, 4, FALSE)</f>
        <v>0.4</v>
      </c>
      <c r="F14" s="38">
        <f>VLOOKUP(RIGHT(B14, 8), 'Điểm thực hành các buổi'!$B$3:$F$41, 5, FALSE)</f>
        <v>0.4</v>
      </c>
      <c r="G14" s="38">
        <f>VLOOKUP(RIGHT(B14, 8), 'Điểm bài tập lớn'!$B$3:$D$41, 3, FALSE)</f>
        <v>1</v>
      </c>
      <c r="H14" s="38">
        <f>VLOOKUP(RIGHT(B14, 8), 'Điểm lý thuyết'!$B$3:$D$41, 3, FALSE)</f>
        <v>7.7</v>
      </c>
      <c r="I14" s="34">
        <f t="shared" si="0"/>
        <v>6.9</v>
      </c>
      <c r="J14" s="38">
        <f>ROUND(IF(OR(G14=0, VALUE(LEFT(B14,1))&gt;2), 0, I14 + VLOOKUP(VALUE(LEFT(B14,1)), 'Các bảng tham chiếu &amp; Thống kê'!$E$3:$F$5, 2, FALSE)), 1)</f>
        <v>7.9</v>
      </c>
      <c r="K14" s="38" t="str">
        <f>VLOOKUP(J14, 'Các bảng tham chiếu &amp; Thống kê'!$A$3:$B$10, 2, TRUE)</f>
        <v xml:space="preserve">B </v>
      </c>
    </row>
    <row r="15" spans="1:11" x14ac:dyDescent="0.2">
      <c r="A15" s="41">
        <v>9</v>
      </c>
      <c r="B15" s="42" t="s">
        <v>81</v>
      </c>
      <c r="C15" s="6" t="str">
        <f>VLOOKUP(RIGHT(B15, 8), 'Các bảng tham chiếu &amp; Thống kê'!$B$14:$C$52, 2, FALSE)</f>
        <v>Trần Thị Kim Khoa</v>
      </c>
      <c r="D15" s="38">
        <f>VLOOKUP(RIGHT(B15, 8), 'Điểm thực hành các buổi'!$B$3:$F$41, 3, FALSE)</f>
        <v>0.5</v>
      </c>
      <c r="E15" s="45">
        <f>VLOOKUP(RIGHT(B15, 8), 'Điểm thực hành các buổi'!$B$3:$F$41, 4, FALSE)</f>
        <v>0.4</v>
      </c>
      <c r="F15" s="38">
        <f>VLOOKUP(RIGHT(B15, 8), 'Điểm thực hành các buổi'!$B$3:$F$41, 5, FALSE)</f>
        <v>0.4</v>
      </c>
      <c r="G15" s="38">
        <f>VLOOKUP(RIGHT(B15, 8), 'Điểm bài tập lớn'!$B$3:$D$41, 3, FALSE)</f>
        <v>1</v>
      </c>
      <c r="H15" s="38">
        <f>VLOOKUP(RIGHT(B15, 8), 'Điểm lý thuyết'!$B$3:$D$41, 3, FALSE)</f>
        <v>-3</v>
      </c>
      <c r="I15" s="34">
        <f t="shared" si="0"/>
        <v>0</v>
      </c>
      <c r="J15" s="38">
        <f>ROUND(IF(OR(G15=0, VALUE(LEFT(B15,1))&gt;2), 0, I15 + VLOOKUP(VALUE(LEFT(B15,1)), 'Các bảng tham chiếu &amp; Thống kê'!$E$3:$F$5, 2, FALSE)), 1)</f>
        <v>0</v>
      </c>
      <c r="K15" s="38" t="str">
        <f>VLOOKUP(J15, 'Các bảng tham chiếu &amp; Thống kê'!$A$3:$B$10, 2, TRUE)</f>
        <v>F</v>
      </c>
    </row>
    <row r="16" spans="1:11" x14ac:dyDescent="0.2">
      <c r="A16" s="41">
        <v>10</v>
      </c>
      <c r="B16" s="42" t="s">
        <v>27</v>
      </c>
      <c r="C16" s="6" t="str">
        <f>VLOOKUP(RIGHT(B16, 8), 'Các bảng tham chiếu &amp; Thống kê'!$B$14:$C$52, 2, FALSE)</f>
        <v>Huỳnh Thị Hồng Loan</v>
      </c>
      <c r="D16" s="38">
        <f>VLOOKUP(RIGHT(B16, 8), 'Điểm thực hành các buổi'!$B$3:$F$41, 3, FALSE)</f>
        <v>0.45</v>
      </c>
      <c r="E16" s="45">
        <f>VLOOKUP(RIGHT(B16, 8), 'Điểm thực hành các buổi'!$B$3:$F$41, 4, FALSE)</f>
        <v>0.4</v>
      </c>
      <c r="F16" s="38">
        <f>VLOOKUP(RIGHT(B16, 8), 'Điểm thực hành các buổi'!$B$3:$F$41, 5, FALSE)</f>
        <v>0.45</v>
      </c>
      <c r="G16" s="38">
        <f>VLOOKUP(RIGHT(B16, 8), 'Điểm bài tập lớn'!$B$3:$D$41, 3, FALSE)</f>
        <v>0</v>
      </c>
      <c r="H16" s="38">
        <f>VLOOKUP(RIGHT(B16, 8), 'Điểm lý thuyết'!$B$3:$D$41, 3, FALSE)</f>
        <v>6.8</v>
      </c>
      <c r="I16" s="34">
        <f t="shared" si="0"/>
        <v>5.4</v>
      </c>
      <c r="J16" s="38">
        <f>ROUND(IF(OR(G16=0, VALUE(LEFT(B16,1))&gt;2), 0, I16 + VLOOKUP(VALUE(LEFT(B16,1)), 'Các bảng tham chiếu &amp; Thống kê'!$E$3:$F$5, 2, FALSE)), 1)</f>
        <v>0</v>
      </c>
      <c r="K16" s="38" t="str">
        <f>VLOOKUP(J16, 'Các bảng tham chiếu &amp; Thống kê'!$A$3:$B$10, 2, TRUE)</f>
        <v>F</v>
      </c>
    </row>
    <row r="17" spans="1:11" x14ac:dyDescent="0.2">
      <c r="A17" s="41">
        <v>11</v>
      </c>
      <c r="B17" s="42" t="s">
        <v>28</v>
      </c>
      <c r="C17" s="6" t="str">
        <f>VLOOKUP(RIGHT(B17, 8), 'Các bảng tham chiếu &amp; Thống kê'!$B$14:$C$52, 2, FALSE)</f>
        <v>Trần Thị Thanh Nguyên</v>
      </c>
      <c r="D17" s="38">
        <f>VLOOKUP(RIGHT(B17, 8), 'Điểm thực hành các buổi'!$B$3:$F$41, 3, FALSE)</f>
        <v>0.45</v>
      </c>
      <c r="E17" s="45">
        <f>VLOOKUP(RIGHT(B17, 8), 'Điểm thực hành các buổi'!$B$3:$F$41, 4, FALSE)</f>
        <v>0.4</v>
      </c>
      <c r="F17" s="38">
        <f>VLOOKUP(RIGHT(B17, 8), 'Điểm thực hành các buổi'!$B$3:$F$41, 5, FALSE)</f>
        <v>0.4</v>
      </c>
      <c r="G17" s="38">
        <f>VLOOKUP(RIGHT(B17, 8), 'Điểm bài tập lớn'!$B$3:$D$41, 3, FALSE)</f>
        <v>0.75</v>
      </c>
      <c r="H17" s="38">
        <f>VLOOKUP(RIGHT(B17, 8), 'Điểm lý thuyết'!$B$3:$D$41, 3, FALSE)</f>
        <v>6.3</v>
      </c>
      <c r="I17" s="34">
        <f t="shared" si="0"/>
        <v>5.8</v>
      </c>
      <c r="J17" s="38">
        <f>ROUND(IF(OR(G17=0, VALUE(LEFT(B17,1))&gt;2), 0, I17 + VLOOKUP(VALUE(LEFT(B17,1)), 'Các bảng tham chiếu &amp; Thống kê'!$E$3:$F$5, 2, FALSE)), 1)</f>
        <v>6.8</v>
      </c>
      <c r="K17" s="38" t="str">
        <f>VLOOKUP(J17, 'Các bảng tham chiếu &amp; Thống kê'!$A$3:$B$10, 2, TRUE)</f>
        <v>C+</v>
      </c>
    </row>
    <row r="18" spans="1:11" x14ac:dyDescent="0.2">
      <c r="A18" s="41">
        <v>12</v>
      </c>
      <c r="B18" s="42" t="s">
        <v>29</v>
      </c>
      <c r="C18" s="6" t="str">
        <f>VLOOKUP(RIGHT(B18, 8), 'Các bảng tham chiếu &amp; Thống kê'!$B$14:$C$52, 2, FALSE)</f>
        <v>Nguyễn Thị Thúy Nga</v>
      </c>
      <c r="D18" s="38">
        <f>VLOOKUP(RIGHT(B18, 8), 'Điểm thực hành các buổi'!$B$3:$F$41, 3, FALSE)</f>
        <v>0.3</v>
      </c>
      <c r="E18" s="45">
        <f>VLOOKUP(RIGHT(B18, 8), 'Điểm thực hành các buổi'!$B$3:$F$41, 4, FALSE)</f>
        <v>0.5</v>
      </c>
      <c r="F18" s="38">
        <f>VLOOKUP(RIGHT(B18, 8), 'Điểm thực hành các buổi'!$B$3:$F$41, 5, FALSE)</f>
        <v>0.45</v>
      </c>
      <c r="G18" s="38">
        <f>VLOOKUP(RIGHT(B18, 8), 'Điểm bài tập lớn'!$B$3:$D$41, 3, FALSE)</f>
        <v>0.3</v>
      </c>
      <c r="H18" s="38">
        <f>VLOOKUP(RIGHT(B18, 8), 'Điểm lý thuyết'!$B$3:$D$41, 3, FALSE)</f>
        <v>8.3000000000000007</v>
      </c>
      <c r="I18" s="34">
        <f t="shared" si="0"/>
        <v>6.5</v>
      </c>
      <c r="J18" s="38">
        <f>ROUND(IF(OR(G18=0, VALUE(LEFT(B18,1))&gt;2), 0, I18 + VLOOKUP(VALUE(LEFT(B18,1)), 'Các bảng tham chiếu &amp; Thống kê'!$E$3:$F$5, 2, FALSE)), 1)</f>
        <v>7</v>
      </c>
      <c r="K18" s="38" t="str">
        <f>VLOOKUP(J18, 'Các bảng tham chiếu &amp; Thống kê'!$A$3:$B$10, 2, TRUE)</f>
        <v xml:space="preserve">B </v>
      </c>
    </row>
    <row r="19" spans="1:11" x14ac:dyDescent="0.2">
      <c r="A19" s="41">
        <v>13</v>
      </c>
      <c r="B19" s="42" t="s">
        <v>82</v>
      </c>
      <c r="C19" s="6" t="str">
        <f>VLOOKUP(RIGHT(B19, 8), 'Các bảng tham chiếu &amp; Thống kê'!$B$14:$C$52, 2, FALSE)</f>
        <v>Vũ Mạnh Thắng</v>
      </c>
      <c r="D19" s="38">
        <f>VLOOKUP(RIGHT(B19, 8), 'Điểm thực hành các buổi'!$B$3:$F$41, 3, FALSE)</f>
        <v>0.4</v>
      </c>
      <c r="E19" s="45">
        <f>VLOOKUP(RIGHT(B19, 8), 'Điểm thực hành các buổi'!$B$3:$F$41, 4, FALSE)</f>
        <v>0.5</v>
      </c>
      <c r="F19" s="38">
        <f>VLOOKUP(RIGHT(B19, 8), 'Điểm thực hành các buổi'!$B$3:$F$41, 5, FALSE)</f>
        <v>0.5</v>
      </c>
      <c r="G19" s="38">
        <f>VLOOKUP(RIGHT(B19, 8), 'Điểm bài tập lớn'!$B$3:$D$41, 3, FALSE)</f>
        <v>1.2</v>
      </c>
      <c r="H19" s="38">
        <f>VLOOKUP(RIGHT(B19, 8), 'Điểm lý thuyết'!$B$3:$D$41, 3, FALSE)</f>
        <v>5.5</v>
      </c>
      <c r="I19" s="34">
        <f t="shared" si="0"/>
        <v>5.9</v>
      </c>
      <c r="J19" s="38">
        <f>ROUND(IF(OR(G19=0, VALUE(LEFT(B19,1))&gt;2), 0, I19 + VLOOKUP(VALUE(LEFT(B19,1)), 'Các bảng tham chiếu &amp; Thống kê'!$E$3:$F$5, 2, FALSE)), 1)</f>
        <v>6.9</v>
      </c>
      <c r="K19" s="38" t="str">
        <f>VLOOKUP(J19, 'Các bảng tham chiếu &amp; Thống kê'!$A$3:$B$10, 2, TRUE)</f>
        <v>C+</v>
      </c>
    </row>
    <row r="20" spans="1:11" x14ac:dyDescent="0.2">
      <c r="A20" s="41">
        <v>14</v>
      </c>
      <c r="B20" s="42" t="s">
        <v>83</v>
      </c>
      <c r="C20" s="6" t="str">
        <f>VLOOKUP(RIGHT(B20, 8), 'Các bảng tham chiếu &amp; Thống kê'!$B$14:$C$52, 2, FALSE)</f>
        <v>Cao Ngọc Quyên</v>
      </c>
      <c r="D20" s="38">
        <f>VLOOKUP(RIGHT(B20, 8), 'Điểm thực hành các buổi'!$B$3:$F$41, 3, FALSE)</f>
        <v>0.5</v>
      </c>
      <c r="E20" s="45">
        <f>VLOOKUP(RIGHT(B20, 8), 'Điểm thực hành các buổi'!$B$3:$F$41, 4, FALSE)</f>
        <v>0.5</v>
      </c>
      <c r="F20" s="38">
        <f>VLOOKUP(RIGHT(B20, 8), 'Điểm thực hành các buổi'!$B$3:$F$41, 5, FALSE)</f>
        <v>0.45</v>
      </c>
      <c r="G20" s="38">
        <f>VLOOKUP(RIGHT(B20, 8), 'Điểm bài tập lớn'!$B$3:$D$41, 3, FALSE)</f>
        <v>0.3</v>
      </c>
      <c r="H20" s="38">
        <f>VLOOKUP(RIGHT(B20, 8), 'Điểm lý thuyết'!$B$3:$D$41, 3, FALSE)</f>
        <v>6</v>
      </c>
      <c r="I20" s="34">
        <f t="shared" si="0"/>
        <v>5.4</v>
      </c>
      <c r="J20" s="38">
        <f>ROUND(IF(OR(G20=0, VALUE(LEFT(B20,1))&gt;2), 0, I20 + VLOOKUP(VALUE(LEFT(B20,1)), 'Các bảng tham chiếu &amp; Thống kê'!$E$3:$F$5, 2, FALSE)), 1)</f>
        <v>6.4</v>
      </c>
      <c r="K20" s="38" t="str">
        <f>VLOOKUP(J20, 'Các bảng tham chiếu &amp; Thống kê'!$A$3:$B$10, 2, TRUE)</f>
        <v xml:space="preserve">C </v>
      </c>
    </row>
    <row r="21" spans="1:11" x14ac:dyDescent="0.2">
      <c r="A21" s="41">
        <v>15</v>
      </c>
      <c r="B21" s="42" t="s">
        <v>30</v>
      </c>
      <c r="C21" s="6" t="str">
        <f>VLOOKUP(RIGHT(B21, 8), 'Các bảng tham chiếu &amp; Thống kê'!$B$14:$C$52, 2, FALSE)</f>
        <v>Nguyễn Chí Thanh</v>
      </c>
      <c r="D21" s="38">
        <f>VLOOKUP(RIGHT(B21, 8), 'Điểm thực hành các buổi'!$B$3:$F$41, 3, FALSE)</f>
        <v>0.4</v>
      </c>
      <c r="E21" s="45">
        <f>VLOOKUP(RIGHT(B21, 8), 'Điểm thực hành các buổi'!$B$3:$F$41, 4, FALSE)</f>
        <v>0.45</v>
      </c>
      <c r="F21" s="38">
        <f>VLOOKUP(RIGHT(B21, 8), 'Điểm thực hành các buổi'!$B$3:$F$41, 5, FALSE)</f>
        <v>0.4</v>
      </c>
      <c r="G21" s="38">
        <f>VLOOKUP(RIGHT(B21, 8), 'Điểm bài tập lớn'!$B$3:$D$41, 3, FALSE)</f>
        <v>0.3</v>
      </c>
      <c r="H21" s="38">
        <f>VLOOKUP(RIGHT(B21, 8), 'Điểm lý thuyết'!$B$3:$D$41, 3, FALSE)</f>
        <v>-3</v>
      </c>
      <c r="I21" s="34">
        <f t="shared" si="0"/>
        <v>0</v>
      </c>
      <c r="J21" s="38">
        <f>ROUND(IF(OR(G21=0, VALUE(LEFT(B21,1))&gt;2), 0, I21 + VLOOKUP(VALUE(LEFT(B21,1)), 'Các bảng tham chiếu &amp; Thống kê'!$E$3:$F$5, 2, FALSE)), 1)</f>
        <v>0</v>
      </c>
      <c r="K21" s="38" t="str">
        <f>VLOOKUP(J21, 'Các bảng tham chiếu &amp; Thống kê'!$A$3:$B$10, 2, TRUE)</f>
        <v>F</v>
      </c>
    </row>
    <row r="22" spans="1:11" x14ac:dyDescent="0.2">
      <c r="A22" s="41">
        <v>16</v>
      </c>
      <c r="B22" s="42" t="s">
        <v>84</v>
      </c>
      <c r="C22" s="6" t="str">
        <f>VLOOKUP(RIGHT(B22, 8), 'Các bảng tham chiếu &amp; Thống kê'!$B$14:$C$52, 2, FALSE)</f>
        <v>Nguyễn Bích Ngân</v>
      </c>
      <c r="D22" s="38">
        <f>VLOOKUP(RIGHT(B22, 8), 'Điểm thực hành các buổi'!$B$3:$F$41, 3, FALSE)</f>
        <v>0.4</v>
      </c>
      <c r="E22" s="45">
        <f>VLOOKUP(RIGHT(B22, 8), 'Điểm thực hành các buổi'!$B$3:$F$41, 4, FALSE)</f>
        <v>0.45</v>
      </c>
      <c r="F22" s="38">
        <f>VLOOKUP(RIGHT(B22, 8), 'Điểm thực hành các buổi'!$B$3:$F$41, 5, FALSE)</f>
        <v>0.45</v>
      </c>
      <c r="G22" s="38">
        <f>VLOOKUP(RIGHT(B22, 8), 'Điểm bài tập lớn'!$B$3:$D$41, 3, FALSE)</f>
        <v>1</v>
      </c>
      <c r="H22" s="38">
        <f>VLOOKUP(RIGHT(B22, 8), 'Điểm lý thuyết'!$B$3:$D$41, 3, FALSE)</f>
        <v>5.7</v>
      </c>
      <c r="I22" s="34">
        <f t="shared" si="0"/>
        <v>5.7</v>
      </c>
      <c r="J22" s="38">
        <f>ROUND(IF(OR(G22=0, VALUE(LEFT(B22,1))&gt;2), 0, I22 + VLOOKUP(VALUE(LEFT(B22,1)), 'Các bảng tham chiếu &amp; Thống kê'!$E$3:$F$5, 2, FALSE)), 1)</f>
        <v>6.7</v>
      </c>
      <c r="K22" s="38" t="str">
        <f>VLOOKUP(J22, 'Các bảng tham chiếu &amp; Thống kê'!$A$3:$B$10, 2, TRUE)</f>
        <v>C+</v>
      </c>
    </row>
    <row r="23" spans="1:11" x14ac:dyDescent="0.2">
      <c r="A23" s="41">
        <v>17</v>
      </c>
      <c r="B23" s="42" t="s">
        <v>31</v>
      </c>
      <c r="C23" s="6" t="str">
        <f>VLOOKUP(RIGHT(B23, 8), 'Các bảng tham chiếu &amp; Thống kê'!$B$14:$C$52, 2, FALSE)</f>
        <v>Nguyễn Hải Anh</v>
      </c>
      <c r="D23" s="38">
        <f>VLOOKUP(RIGHT(B23, 8), 'Điểm thực hành các buổi'!$B$3:$F$41, 3, FALSE)</f>
        <v>0.5</v>
      </c>
      <c r="E23" s="45">
        <f>VLOOKUP(RIGHT(B23, 8), 'Điểm thực hành các buổi'!$B$3:$F$41, 4, FALSE)</f>
        <v>0.5</v>
      </c>
      <c r="F23" s="38">
        <f>VLOOKUP(RIGHT(B23, 8), 'Điểm thực hành các buổi'!$B$3:$F$41, 5, FALSE)</f>
        <v>0.45</v>
      </c>
      <c r="G23" s="38">
        <f>VLOOKUP(RIGHT(B23, 8), 'Điểm bài tập lớn'!$B$3:$D$41, 3, FALSE)</f>
        <v>1.5</v>
      </c>
      <c r="H23" s="38">
        <f>VLOOKUP(RIGHT(B23, 8), 'Điểm lý thuyết'!$B$3:$D$41, 3, FALSE)</f>
        <v>7</v>
      </c>
      <c r="I23" s="34">
        <f t="shared" si="0"/>
        <v>7.2</v>
      </c>
      <c r="J23" s="38">
        <f>ROUND(IF(OR(G23=0, VALUE(LEFT(B23,1))&gt;2), 0, I23 + VLOOKUP(VALUE(LEFT(B23,1)), 'Các bảng tham chiếu &amp; Thống kê'!$E$3:$F$5, 2, FALSE)), 1)</f>
        <v>7.5</v>
      </c>
      <c r="K23" s="38" t="str">
        <f>VLOOKUP(J23, 'Các bảng tham chiếu &amp; Thống kê'!$A$3:$B$10, 2, TRUE)</f>
        <v xml:space="preserve">B </v>
      </c>
    </row>
    <row r="24" spans="1:11" x14ac:dyDescent="0.2">
      <c r="A24" s="41">
        <v>18</v>
      </c>
      <c r="B24" s="42" t="s">
        <v>85</v>
      </c>
      <c r="C24" s="6" t="str">
        <f>VLOOKUP(RIGHT(B24, 8), 'Các bảng tham chiếu &amp; Thống kê'!$B$14:$C$52, 2, FALSE)</f>
        <v>Nguyễn Hoàng Châu</v>
      </c>
      <c r="D24" s="38">
        <f>VLOOKUP(RIGHT(B24, 8), 'Điểm thực hành các buổi'!$B$3:$F$41, 3, FALSE)</f>
        <v>0.4</v>
      </c>
      <c r="E24" s="45">
        <f>VLOOKUP(RIGHT(B24, 8), 'Điểm thực hành các buổi'!$B$3:$F$41, 4, FALSE)</f>
        <v>0.4</v>
      </c>
      <c r="F24" s="38">
        <f>VLOOKUP(RIGHT(B24, 8), 'Điểm thực hành các buổi'!$B$3:$F$41, 5, FALSE)</f>
        <v>0.4</v>
      </c>
      <c r="G24" s="38">
        <f>VLOOKUP(RIGHT(B24, 8), 'Điểm bài tập lớn'!$B$3:$D$41, 3, FALSE)</f>
        <v>0.3</v>
      </c>
      <c r="H24" s="38">
        <f>VLOOKUP(RIGHT(B24, 8), 'Điểm lý thuyết'!$B$3:$D$41, 3, FALSE)</f>
        <v>6.5</v>
      </c>
      <c r="I24" s="34">
        <f t="shared" si="0"/>
        <v>5.4</v>
      </c>
      <c r="J24" s="38">
        <f>ROUND(IF(OR(G24=0, VALUE(LEFT(B24,1))&gt;2), 0, I24 + VLOOKUP(VALUE(LEFT(B24,1)), 'Các bảng tham chiếu &amp; Thống kê'!$E$3:$F$5, 2, FALSE)), 1)</f>
        <v>6.4</v>
      </c>
      <c r="K24" s="38" t="str">
        <f>VLOOKUP(J24, 'Các bảng tham chiếu &amp; Thống kê'!$A$3:$B$10, 2, TRUE)</f>
        <v xml:space="preserve">C </v>
      </c>
    </row>
    <row r="25" spans="1:11" x14ac:dyDescent="0.2">
      <c r="A25" s="41">
        <v>19</v>
      </c>
      <c r="B25" s="42" t="s">
        <v>32</v>
      </c>
      <c r="C25" s="6" t="str">
        <f>VLOOKUP(RIGHT(B25, 8), 'Các bảng tham chiếu &amp; Thống kê'!$B$14:$C$52, 2, FALSE)</f>
        <v>Trần Nam Dương</v>
      </c>
      <c r="D25" s="38">
        <f>VLOOKUP(RIGHT(B25, 8), 'Điểm thực hành các buổi'!$B$3:$F$41, 3, FALSE)</f>
        <v>0.4</v>
      </c>
      <c r="E25" s="45">
        <f>VLOOKUP(RIGHT(B25, 8), 'Điểm thực hành các buổi'!$B$3:$F$41, 4, FALSE)</f>
        <v>0.4</v>
      </c>
      <c r="F25" s="38">
        <f>VLOOKUP(RIGHT(B25, 8), 'Điểm thực hành các buổi'!$B$3:$F$41, 5, FALSE)</f>
        <v>0.35</v>
      </c>
      <c r="G25" s="38">
        <f>VLOOKUP(RIGHT(B25, 8), 'Điểm bài tập lớn'!$B$3:$D$41, 3, FALSE)</f>
        <v>1.35</v>
      </c>
      <c r="H25" s="38">
        <f>VLOOKUP(RIGHT(B25, 8), 'Điểm lý thuyết'!$B$3:$D$41, 3, FALSE)</f>
        <v>-3</v>
      </c>
      <c r="I25" s="34">
        <f t="shared" si="0"/>
        <v>0</v>
      </c>
      <c r="J25" s="38">
        <f>ROUND(IF(OR(G25=0, VALUE(LEFT(B25,1))&gt;2), 0, I25 + VLOOKUP(VALUE(LEFT(B25,1)), 'Các bảng tham chiếu &amp; Thống kê'!$E$3:$F$5, 2, FALSE)), 1)</f>
        <v>0</v>
      </c>
      <c r="K25" s="38" t="str">
        <f>VLOOKUP(J25, 'Các bảng tham chiếu &amp; Thống kê'!$A$3:$B$10, 2, TRUE)</f>
        <v>F</v>
      </c>
    </row>
    <row r="26" spans="1:11" x14ac:dyDescent="0.2">
      <c r="A26" s="41">
        <v>20</v>
      </c>
      <c r="B26" s="42" t="s">
        <v>33</v>
      </c>
      <c r="C26" s="6" t="str">
        <f>VLOOKUP(RIGHT(B26, 8), 'Các bảng tham chiếu &amp; Thống kê'!$B$14:$C$52, 2, FALSE)</f>
        <v>Đào Nguyễn Duy Khanh</v>
      </c>
      <c r="D26" s="38">
        <f>VLOOKUP(RIGHT(B26, 8), 'Điểm thực hành các buổi'!$B$3:$F$41, 3, FALSE)</f>
        <v>0.35</v>
      </c>
      <c r="E26" s="45">
        <f>VLOOKUP(RIGHT(B26, 8), 'Điểm thực hành các buổi'!$B$3:$F$41, 4, FALSE)</f>
        <v>0.4</v>
      </c>
      <c r="F26" s="38">
        <f>VLOOKUP(RIGHT(B26, 8), 'Điểm thực hành các buổi'!$B$3:$F$41, 5, FALSE)</f>
        <v>0</v>
      </c>
      <c r="G26" s="38">
        <f>VLOOKUP(RIGHT(B26, 8), 'Điểm bài tập lớn'!$B$3:$D$41, 3, FALSE)</f>
        <v>0.85</v>
      </c>
      <c r="H26" s="38">
        <f>VLOOKUP(RIGHT(B26, 8), 'Điểm lý thuyết'!$B$3:$D$41, 3, FALSE)</f>
        <v>6.5</v>
      </c>
      <c r="I26" s="34">
        <f t="shared" si="0"/>
        <v>5.5</v>
      </c>
      <c r="J26" s="38">
        <f>ROUND(IF(OR(G26=0, VALUE(LEFT(B26,1))&gt;2), 0, I26 + VLOOKUP(VALUE(LEFT(B26,1)), 'Các bảng tham chiếu &amp; Thống kê'!$E$3:$F$5, 2, FALSE)), 1)</f>
        <v>6.5</v>
      </c>
      <c r="K26" s="38" t="str">
        <f>VLOOKUP(J26, 'Các bảng tham chiếu &amp; Thống kê'!$A$3:$B$10, 2, TRUE)</f>
        <v>C+</v>
      </c>
    </row>
    <row r="27" spans="1:11" x14ac:dyDescent="0.2">
      <c r="A27" s="41">
        <v>21</v>
      </c>
      <c r="B27" s="42" t="s">
        <v>86</v>
      </c>
      <c r="C27" s="6" t="str">
        <f>VLOOKUP(RIGHT(B27, 8), 'Các bảng tham chiếu &amp; Thống kê'!$B$14:$C$52, 2, FALSE)</f>
        <v>Ngô Hùng Vĩ</v>
      </c>
      <c r="D27" s="38">
        <f>VLOOKUP(RIGHT(B27, 8), 'Điểm thực hành các buổi'!$B$3:$F$41, 3, FALSE)</f>
        <v>0.5</v>
      </c>
      <c r="E27" s="45">
        <f>VLOOKUP(RIGHT(B27, 8), 'Điểm thực hành các buổi'!$B$3:$F$41, 4, FALSE)</f>
        <v>0.4</v>
      </c>
      <c r="F27" s="38">
        <f>VLOOKUP(RIGHT(B27, 8), 'Điểm thực hành các buổi'!$B$3:$F$41, 5, FALSE)</f>
        <v>0.45</v>
      </c>
      <c r="G27" s="38">
        <f>VLOOKUP(RIGHT(B27, 8), 'Điểm bài tập lớn'!$B$3:$D$41, 3, FALSE)</f>
        <v>1.35</v>
      </c>
      <c r="H27" s="38">
        <f>VLOOKUP(RIGHT(B27, 8), 'Điểm lý thuyết'!$B$3:$D$41, 3, FALSE)</f>
        <v>6.7</v>
      </c>
      <c r="I27" s="34">
        <f t="shared" si="0"/>
        <v>6.7</v>
      </c>
      <c r="J27" s="38">
        <f>ROUND(IF(OR(G27=0, VALUE(LEFT(B27,1))&gt;2), 0, I27 + VLOOKUP(VALUE(LEFT(B27,1)), 'Các bảng tham chiếu &amp; Thống kê'!$E$3:$F$5, 2, FALSE)), 1)</f>
        <v>7.7</v>
      </c>
      <c r="K27" s="38" t="str">
        <f>VLOOKUP(J27, 'Các bảng tham chiếu &amp; Thống kê'!$A$3:$B$10, 2, TRUE)</f>
        <v xml:space="preserve">B </v>
      </c>
    </row>
    <row r="28" spans="1:11" x14ac:dyDescent="0.2">
      <c r="A28" s="41">
        <v>22</v>
      </c>
      <c r="B28" s="42" t="s">
        <v>87</v>
      </c>
      <c r="C28" s="6" t="str">
        <f>VLOOKUP(RIGHT(B28, 8), 'Các bảng tham chiếu &amp; Thống kê'!$B$14:$C$52, 2, FALSE)</f>
        <v>Lê Thanh Tùng</v>
      </c>
      <c r="D28" s="38">
        <f>VLOOKUP(RIGHT(B28, 8), 'Điểm thực hành các buổi'!$B$3:$F$41, 3, FALSE)</f>
        <v>0.4</v>
      </c>
      <c r="E28" s="45">
        <f>VLOOKUP(RIGHT(B28, 8), 'Điểm thực hành các buổi'!$B$3:$F$41, 4, FALSE)</f>
        <v>0.4</v>
      </c>
      <c r="F28" s="38">
        <f>VLOOKUP(RIGHT(B28, 8), 'Điểm thực hành các buổi'!$B$3:$F$41, 5, FALSE)</f>
        <v>0.4</v>
      </c>
      <c r="G28" s="38">
        <f>VLOOKUP(RIGHT(B28, 8), 'Điểm bài tập lớn'!$B$3:$D$41, 3, FALSE)</f>
        <v>0</v>
      </c>
      <c r="H28" s="38">
        <f>VLOOKUP(RIGHT(B28, 8), 'Điểm lý thuyết'!$B$3:$D$41, 3, FALSE)</f>
        <v>4.5</v>
      </c>
      <c r="I28" s="34">
        <f t="shared" si="0"/>
        <v>3.9</v>
      </c>
      <c r="J28" s="38">
        <f>ROUND(IF(OR(G28=0, VALUE(LEFT(B28,1))&gt;2), 0, I28 + VLOOKUP(VALUE(LEFT(B28,1)), 'Các bảng tham chiếu &amp; Thống kê'!$E$3:$F$5, 2, FALSE)), 1)</f>
        <v>0</v>
      </c>
      <c r="K28" s="38" t="str">
        <f>VLOOKUP(J28, 'Các bảng tham chiếu &amp; Thống kê'!$A$3:$B$10, 2, TRUE)</f>
        <v>F</v>
      </c>
    </row>
    <row r="29" spans="1:11" x14ac:dyDescent="0.2">
      <c r="A29" s="41">
        <v>23</v>
      </c>
      <c r="B29" s="42" t="s">
        <v>88</v>
      </c>
      <c r="C29" s="6" t="str">
        <f>VLOOKUP(RIGHT(B29, 8), 'Các bảng tham chiếu &amp; Thống kê'!$B$14:$C$52, 2, FALSE)</f>
        <v>Lê Hồng Quốc Vương</v>
      </c>
      <c r="D29" s="38">
        <f>VLOOKUP(RIGHT(B29, 8), 'Điểm thực hành các buổi'!$B$3:$F$41, 3, FALSE)</f>
        <v>0.5</v>
      </c>
      <c r="E29" s="45">
        <f>VLOOKUP(RIGHT(B29, 8), 'Điểm thực hành các buổi'!$B$3:$F$41, 4, FALSE)</f>
        <v>0.5</v>
      </c>
      <c r="F29" s="38">
        <f>VLOOKUP(RIGHT(B29, 8), 'Điểm thực hành các buổi'!$B$3:$F$41, 5, FALSE)</f>
        <v>0.5</v>
      </c>
      <c r="G29" s="38">
        <f>VLOOKUP(RIGHT(B29, 8), 'Điểm bài tập lớn'!$B$3:$D$41, 3, FALSE)</f>
        <v>1.5</v>
      </c>
      <c r="H29" s="38">
        <f>VLOOKUP(RIGHT(B29, 8), 'Điểm lý thuyết'!$B$3:$D$41, 3, FALSE)</f>
        <v>7.5</v>
      </c>
      <c r="I29" s="34">
        <f t="shared" si="0"/>
        <v>7.5</v>
      </c>
      <c r="J29" s="38">
        <f>ROUND(IF(OR(G29=0, VALUE(LEFT(B29,1))&gt;2), 0, I29 + VLOOKUP(VALUE(LEFT(B29,1)), 'Các bảng tham chiếu &amp; Thống kê'!$E$3:$F$5, 2, FALSE)), 1)</f>
        <v>8.5</v>
      </c>
      <c r="K29" s="38" t="str">
        <f>VLOOKUP(J29, 'Các bảng tham chiếu &amp; Thống kê'!$A$3:$B$10, 2, TRUE)</f>
        <v>B+</v>
      </c>
    </row>
    <row r="30" spans="1:11" x14ac:dyDescent="0.2">
      <c r="A30" s="41">
        <v>24</v>
      </c>
      <c r="B30" s="42" t="s">
        <v>89</v>
      </c>
      <c r="C30" s="6" t="str">
        <f>VLOOKUP(RIGHT(B30, 8), 'Các bảng tham chiếu &amp; Thống kê'!$B$14:$C$52, 2, FALSE)</f>
        <v>Huỳnh Hoàng Ẩn</v>
      </c>
      <c r="D30" s="38">
        <f>VLOOKUP(RIGHT(B30, 8), 'Điểm thực hành các buổi'!$B$3:$F$41, 3, FALSE)</f>
        <v>0.45</v>
      </c>
      <c r="E30" s="45">
        <f>VLOOKUP(RIGHT(B30, 8), 'Điểm thực hành các buổi'!$B$3:$F$41, 4, FALSE)</f>
        <v>0.3</v>
      </c>
      <c r="F30" s="38">
        <f>VLOOKUP(RIGHT(B30, 8), 'Điểm thực hành các buổi'!$B$3:$F$41, 5, FALSE)</f>
        <v>0.45</v>
      </c>
      <c r="G30" s="38">
        <f>VLOOKUP(RIGHT(B30, 8), 'Điểm bài tập lớn'!$B$3:$D$41, 3, FALSE)</f>
        <v>1.2</v>
      </c>
      <c r="H30" s="38">
        <f>VLOOKUP(RIGHT(B30, 8), 'Điểm lý thuyết'!$B$3:$D$41, 3, FALSE)</f>
        <v>8.8000000000000007</v>
      </c>
      <c r="I30" s="34">
        <f t="shared" si="0"/>
        <v>7.7</v>
      </c>
      <c r="J30" s="38">
        <f>ROUND(IF(OR(G30=0, VALUE(LEFT(B30,1))&gt;2), 0, I30 + VLOOKUP(VALUE(LEFT(B30,1)), 'Các bảng tham chiếu &amp; Thống kê'!$E$3:$F$5, 2, FALSE)), 1)</f>
        <v>8</v>
      </c>
      <c r="K30" s="38" t="str">
        <f>VLOOKUP(J30, 'Các bảng tham chiếu &amp; Thống kê'!$A$3:$B$10, 2, TRUE)</f>
        <v>B+</v>
      </c>
    </row>
    <row r="31" spans="1:11" x14ac:dyDescent="0.2">
      <c r="A31" s="41">
        <v>25</v>
      </c>
      <c r="B31" s="42" t="s">
        <v>90</v>
      </c>
      <c r="C31" s="6" t="str">
        <f>VLOOKUP(RIGHT(B31, 8), 'Các bảng tham chiếu &amp; Thống kê'!$B$14:$C$52, 2, FALSE)</f>
        <v>Hồ Thị Mỷ Huyền</v>
      </c>
      <c r="D31" s="38">
        <f>VLOOKUP(RIGHT(B31, 8), 'Điểm thực hành các buổi'!$B$3:$F$41, 3, FALSE)</f>
        <v>0.3</v>
      </c>
      <c r="E31" s="45">
        <f>VLOOKUP(RIGHT(B31, 8), 'Điểm thực hành các buổi'!$B$3:$F$41, 4, FALSE)</f>
        <v>0.3</v>
      </c>
      <c r="F31" s="38">
        <f>VLOOKUP(RIGHT(B31, 8), 'Điểm thực hành các buổi'!$B$3:$F$41, 5, FALSE)</f>
        <v>0.4</v>
      </c>
      <c r="G31" s="38">
        <f>VLOOKUP(RIGHT(B31, 8), 'Điểm bài tập lớn'!$B$3:$D$41, 3, FALSE)</f>
        <v>0.75</v>
      </c>
      <c r="H31" s="38">
        <f>VLOOKUP(RIGHT(B31, 8), 'Điểm lý thuyết'!$B$3:$D$41, 3, FALSE)</f>
        <v>6.8</v>
      </c>
      <c r="I31" s="34">
        <f t="shared" si="0"/>
        <v>5.8</v>
      </c>
      <c r="J31" s="38">
        <f>ROUND(IF(OR(G31=0, VALUE(LEFT(B31,1))&gt;2), 0, I31 + VLOOKUP(VALUE(LEFT(B31,1)), 'Các bảng tham chiếu &amp; Thống kê'!$E$3:$F$5, 2, FALSE)), 1)</f>
        <v>6.3</v>
      </c>
      <c r="K31" s="38" t="str">
        <f>VLOOKUP(J31, 'Các bảng tham chiếu &amp; Thống kê'!$A$3:$B$10, 2, TRUE)</f>
        <v xml:space="preserve">C </v>
      </c>
    </row>
    <row r="32" spans="1:11" x14ac:dyDescent="0.2">
      <c r="A32" s="41">
        <v>26</v>
      </c>
      <c r="B32" s="42" t="s">
        <v>91</v>
      </c>
      <c r="C32" s="6" t="str">
        <f>VLOOKUP(RIGHT(B32, 8), 'Các bảng tham chiếu &amp; Thống kê'!$B$14:$C$52, 2, FALSE)</f>
        <v>Đặng Trung Kiên</v>
      </c>
      <c r="D32" s="38">
        <f>VLOOKUP(RIGHT(B32, 8), 'Điểm thực hành các buổi'!$B$3:$F$41, 3, FALSE)</f>
        <v>0.5</v>
      </c>
      <c r="E32" s="45">
        <f>VLOOKUP(RIGHT(B32, 8), 'Điểm thực hành các buổi'!$B$3:$F$41, 4, FALSE)</f>
        <v>0.3</v>
      </c>
      <c r="F32" s="38">
        <f>VLOOKUP(RIGHT(B32, 8), 'Điểm thực hành các buổi'!$B$3:$F$41, 5, FALSE)</f>
        <v>0.45</v>
      </c>
      <c r="G32" s="38">
        <f>VLOOKUP(RIGHT(B32, 8), 'Điểm bài tập lớn'!$B$3:$D$41, 3, FALSE)</f>
        <v>1</v>
      </c>
      <c r="H32" s="38">
        <f>VLOOKUP(RIGHT(B32, 8), 'Điểm lý thuyết'!$B$3:$D$41, 3, FALSE)</f>
        <v>7.8</v>
      </c>
      <c r="I32" s="34">
        <f t="shared" si="0"/>
        <v>6.9</v>
      </c>
      <c r="J32" s="38">
        <f>ROUND(IF(OR(G32=0, VALUE(LEFT(B32,1))&gt;2), 0, I32 + VLOOKUP(VALUE(LEFT(B32,1)), 'Các bảng tham chiếu &amp; Thống kê'!$E$3:$F$5, 2, FALSE)), 1)</f>
        <v>7.9</v>
      </c>
      <c r="K32" s="38" t="str">
        <f>VLOOKUP(J32, 'Các bảng tham chiếu &amp; Thống kê'!$A$3:$B$10, 2, TRUE)</f>
        <v xml:space="preserve">B </v>
      </c>
    </row>
    <row r="33" spans="1:11" x14ac:dyDescent="0.2">
      <c r="A33" s="41">
        <v>27</v>
      </c>
      <c r="B33" s="42" t="s">
        <v>92</v>
      </c>
      <c r="C33" s="6" t="str">
        <f>VLOOKUP(RIGHT(B33, 8), 'Các bảng tham chiếu &amp; Thống kê'!$B$14:$C$52, 2, FALSE)</f>
        <v>Ngụy Hữu Lộc</v>
      </c>
      <c r="D33" s="38">
        <f>VLOOKUP(RIGHT(B33, 8), 'Điểm thực hành các buổi'!$B$3:$F$41, 3, FALSE)</f>
        <v>0.5</v>
      </c>
      <c r="E33" s="45">
        <f>VLOOKUP(RIGHT(B33, 8), 'Điểm thực hành các buổi'!$B$3:$F$41, 4, FALSE)</f>
        <v>0.4</v>
      </c>
      <c r="F33" s="38">
        <f>VLOOKUP(RIGHT(B33, 8), 'Điểm thực hành các buổi'!$B$3:$F$41, 5, FALSE)</f>
        <v>0.45</v>
      </c>
      <c r="G33" s="38">
        <f>VLOOKUP(RIGHT(B33, 8), 'Điểm bài tập lớn'!$B$3:$D$41, 3, FALSE)</f>
        <v>1.5</v>
      </c>
      <c r="H33" s="38">
        <f>VLOOKUP(RIGHT(B33, 8), 'Điểm lý thuyết'!$B$3:$D$41, 3, FALSE)</f>
        <v>8.8000000000000007</v>
      </c>
      <c r="I33" s="34">
        <f t="shared" si="0"/>
        <v>8.1</v>
      </c>
      <c r="J33" s="38">
        <f>ROUND(IF(OR(G33=0, VALUE(LEFT(B33,1))&gt;2), 0, I33 + VLOOKUP(VALUE(LEFT(B33,1)), 'Các bảng tham chiếu &amp; Thống kê'!$E$3:$F$5, 2, FALSE)), 1)</f>
        <v>9.1</v>
      </c>
      <c r="K33" s="38" t="str">
        <f>VLOOKUP(J33, 'Các bảng tham chiếu &amp; Thống kê'!$A$3:$B$10, 2, TRUE)</f>
        <v>A</v>
      </c>
    </row>
    <row r="34" spans="1:11" x14ac:dyDescent="0.2">
      <c r="A34" s="41">
        <v>28</v>
      </c>
      <c r="B34" s="42" t="s">
        <v>93</v>
      </c>
      <c r="C34" s="6" t="str">
        <f>VLOOKUP(RIGHT(B34, 8), 'Các bảng tham chiếu &amp; Thống kê'!$B$14:$C$52, 2, FALSE)</f>
        <v>Nguyễn Trà Mi</v>
      </c>
      <c r="D34" s="38">
        <f>VLOOKUP(RIGHT(B34, 8), 'Điểm thực hành các buổi'!$B$3:$F$41, 3, FALSE)</f>
        <v>0.5</v>
      </c>
      <c r="E34" s="45">
        <f>VLOOKUP(RIGHT(B34, 8), 'Điểm thực hành các buổi'!$B$3:$F$41, 4, FALSE)</f>
        <v>0.45</v>
      </c>
      <c r="F34" s="38">
        <f>VLOOKUP(RIGHT(B34, 8), 'Điểm thực hành các buổi'!$B$3:$F$41, 5, FALSE)</f>
        <v>0.45</v>
      </c>
      <c r="G34" s="38">
        <f>VLOOKUP(RIGHT(B34, 8), 'Điểm bài tập lớn'!$B$3:$D$41, 3, FALSE)</f>
        <v>1</v>
      </c>
      <c r="H34" s="38">
        <f>VLOOKUP(RIGHT(B34, 8), 'Điểm lý thuyết'!$B$3:$D$41, 3, FALSE)</f>
        <v>7.8</v>
      </c>
      <c r="I34" s="34">
        <f t="shared" si="0"/>
        <v>7.1</v>
      </c>
      <c r="J34" s="38">
        <f>ROUND(IF(OR(G34=0, VALUE(LEFT(B34,1))&gt;2), 0, I34 + VLOOKUP(VALUE(LEFT(B34,1)), 'Các bảng tham chiếu &amp; Thống kê'!$E$3:$F$5, 2, FALSE)), 1)</f>
        <v>8.1</v>
      </c>
      <c r="K34" s="38" t="str">
        <f>VLOOKUP(J34, 'Các bảng tham chiếu &amp; Thống kê'!$A$3:$B$10, 2, TRUE)</f>
        <v>B+</v>
      </c>
    </row>
    <row r="35" spans="1:11" x14ac:dyDescent="0.2">
      <c r="A35" s="41">
        <v>29</v>
      </c>
      <c r="B35" s="42" t="s">
        <v>94</v>
      </c>
      <c r="C35" s="6" t="str">
        <f>VLOOKUP(RIGHT(B35, 8), 'Các bảng tham chiếu &amp; Thống kê'!$B$14:$C$52, 2, FALSE)</f>
        <v>Lại Ngọc Hoàng Phi</v>
      </c>
      <c r="D35" s="38">
        <f>VLOOKUP(RIGHT(B35, 8), 'Điểm thực hành các buổi'!$B$3:$F$41, 3, FALSE)</f>
        <v>0.5</v>
      </c>
      <c r="E35" s="45">
        <f>VLOOKUP(RIGHT(B35, 8), 'Điểm thực hành các buổi'!$B$3:$F$41, 4, FALSE)</f>
        <v>0.5</v>
      </c>
      <c r="F35" s="38">
        <f>VLOOKUP(RIGHT(B35, 8), 'Điểm thực hành các buổi'!$B$3:$F$41, 5, FALSE)</f>
        <v>0.5</v>
      </c>
      <c r="G35" s="38">
        <f>VLOOKUP(RIGHT(B35, 8), 'Điểm bài tập lớn'!$B$3:$D$41, 3, FALSE)</f>
        <v>0</v>
      </c>
      <c r="H35" s="38">
        <f>VLOOKUP(RIGHT(B35, 8), 'Điểm lý thuyết'!$B$3:$D$41, 3, FALSE)</f>
        <v>7.7</v>
      </c>
      <c r="I35" s="34">
        <f t="shared" si="0"/>
        <v>6.1</v>
      </c>
      <c r="J35" s="38">
        <f>ROUND(IF(OR(G35=0, VALUE(LEFT(B35,1))&gt;2), 0, I35 + VLOOKUP(VALUE(LEFT(B35,1)), 'Các bảng tham chiếu &amp; Thống kê'!$E$3:$F$5, 2, FALSE)), 1)</f>
        <v>0</v>
      </c>
      <c r="K35" s="38" t="str">
        <f>VLOOKUP(J35, 'Các bảng tham chiếu &amp; Thống kê'!$A$3:$B$10, 2, TRUE)</f>
        <v>F</v>
      </c>
    </row>
    <row r="36" spans="1:11" x14ac:dyDescent="0.2">
      <c r="A36" s="41">
        <v>30</v>
      </c>
      <c r="B36" s="42" t="s">
        <v>95</v>
      </c>
      <c r="C36" s="6" t="str">
        <f>VLOOKUP(RIGHT(B36, 8), 'Các bảng tham chiếu &amp; Thống kê'!$B$14:$C$52, 2, FALSE)</f>
        <v>Nguyễn Khắc Minh Phúc</v>
      </c>
      <c r="D36" s="38">
        <f>VLOOKUP(RIGHT(B36, 8), 'Điểm thực hành các buổi'!$B$3:$F$41, 3, FALSE)</f>
        <v>0.5</v>
      </c>
      <c r="E36" s="45">
        <f>VLOOKUP(RIGHT(B36, 8), 'Điểm thực hành các buổi'!$B$3:$F$41, 4, FALSE)</f>
        <v>0.4</v>
      </c>
      <c r="F36" s="38">
        <f>VLOOKUP(RIGHT(B36, 8), 'Điểm thực hành các buổi'!$B$3:$F$41, 5, FALSE)</f>
        <v>0.45</v>
      </c>
      <c r="G36" s="38">
        <f>VLOOKUP(RIGHT(B36, 8), 'Điểm bài tập lớn'!$B$3:$D$41, 3, FALSE)</f>
        <v>1</v>
      </c>
      <c r="H36" s="38">
        <f>VLOOKUP(RIGHT(B36, 8), 'Điểm lý thuyết'!$B$3:$D$41, 3, FALSE)</f>
        <v>-3</v>
      </c>
      <c r="I36" s="34">
        <f t="shared" si="0"/>
        <v>0</v>
      </c>
      <c r="J36" s="38">
        <f>ROUND(IF(OR(G36=0, VALUE(LEFT(B36,1))&gt;2), 0, I36 + VLOOKUP(VALUE(LEFT(B36,1)), 'Các bảng tham chiếu &amp; Thống kê'!$E$3:$F$5, 2, FALSE)), 1)</f>
        <v>0</v>
      </c>
      <c r="K36" s="38" t="str">
        <f>VLOOKUP(J36, 'Các bảng tham chiếu &amp; Thống kê'!$A$3:$B$10, 2, TRUE)</f>
        <v>F</v>
      </c>
    </row>
    <row r="37" spans="1:11" x14ac:dyDescent="0.2">
      <c r="A37" s="41">
        <v>31</v>
      </c>
      <c r="B37" s="42" t="s">
        <v>96</v>
      </c>
      <c r="C37" s="6" t="str">
        <f>VLOOKUP(RIGHT(B37, 8), 'Các bảng tham chiếu &amp; Thống kê'!$B$14:$C$52, 2, FALSE)</f>
        <v>Trần Thị Hoàng Quyên</v>
      </c>
      <c r="D37" s="38">
        <f>VLOOKUP(RIGHT(B37, 8), 'Điểm thực hành các buổi'!$B$3:$F$41, 3, FALSE)</f>
        <v>0.4</v>
      </c>
      <c r="E37" s="45">
        <f>VLOOKUP(RIGHT(B37, 8), 'Điểm thực hành các buổi'!$B$3:$F$41, 4, FALSE)</f>
        <v>0.5</v>
      </c>
      <c r="F37" s="38">
        <f>VLOOKUP(RIGHT(B37, 8), 'Điểm thực hành các buổi'!$B$3:$F$41, 5, FALSE)</f>
        <v>0.5</v>
      </c>
      <c r="G37" s="38">
        <f>VLOOKUP(RIGHT(B37, 8), 'Điểm bài tập lớn'!$B$3:$D$41, 3, FALSE)</f>
        <v>1</v>
      </c>
      <c r="H37" s="38">
        <f>VLOOKUP(RIGHT(B37, 8), 'Điểm lý thuyết'!$B$3:$D$41, 3, FALSE)</f>
        <v>9.1999999999999993</v>
      </c>
      <c r="I37" s="34">
        <f t="shared" si="0"/>
        <v>7.9</v>
      </c>
      <c r="J37" s="38">
        <f>ROUND(IF(OR(G37=0, VALUE(LEFT(B37,1))&gt;2), 0, I37 + VLOOKUP(VALUE(LEFT(B37,1)), 'Các bảng tham chiếu &amp; Thống kê'!$E$3:$F$5, 2, FALSE)), 1)</f>
        <v>8.9</v>
      </c>
      <c r="K37" s="38" t="str">
        <f>VLOOKUP(J37, 'Các bảng tham chiếu &amp; Thống kê'!$A$3:$B$10, 2, TRUE)</f>
        <v>B+</v>
      </c>
    </row>
    <row r="38" spans="1:11" x14ac:dyDescent="0.2">
      <c r="A38" s="41">
        <v>32</v>
      </c>
      <c r="B38" s="42" t="s">
        <v>97</v>
      </c>
      <c r="C38" s="6" t="str">
        <f>VLOOKUP(RIGHT(B38, 8), 'Các bảng tham chiếu &amp; Thống kê'!$B$14:$C$52, 2, FALSE)</f>
        <v>Trương Quốc Thái</v>
      </c>
      <c r="D38" s="38">
        <f>VLOOKUP(RIGHT(B38, 8), 'Điểm thực hành các buổi'!$B$3:$F$41, 3, FALSE)</f>
        <v>0.4</v>
      </c>
      <c r="E38" s="45">
        <f>VLOOKUP(RIGHT(B38, 8), 'Điểm thực hành các buổi'!$B$3:$F$41, 4, FALSE)</f>
        <v>0.4</v>
      </c>
      <c r="F38" s="38">
        <f>VLOOKUP(RIGHT(B38, 8), 'Điểm thực hành các buổi'!$B$3:$F$41, 5, FALSE)</f>
        <v>0.45</v>
      </c>
      <c r="G38" s="38">
        <f>VLOOKUP(RIGHT(B38, 8), 'Điểm bài tập lớn'!$B$3:$D$41, 3, FALSE)</f>
        <v>1</v>
      </c>
      <c r="H38" s="38">
        <f>VLOOKUP(RIGHT(B38, 8), 'Điểm lý thuyết'!$B$3:$D$41, 3, FALSE)</f>
        <v>7.5</v>
      </c>
      <c r="I38" s="34">
        <f t="shared" si="0"/>
        <v>6.8</v>
      </c>
      <c r="J38" s="38">
        <f>ROUND(IF(OR(G38=0, VALUE(LEFT(B38,1))&gt;2), 0, I38 + VLOOKUP(VALUE(LEFT(B38,1)), 'Các bảng tham chiếu &amp; Thống kê'!$E$3:$F$5, 2, FALSE)), 1)</f>
        <v>7.8</v>
      </c>
      <c r="K38" s="38" t="str">
        <f>VLOOKUP(J38, 'Các bảng tham chiếu &amp; Thống kê'!$A$3:$B$10, 2, TRUE)</f>
        <v xml:space="preserve">B </v>
      </c>
    </row>
    <row r="39" spans="1:11" x14ac:dyDescent="0.2">
      <c r="A39" s="41">
        <v>33</v>
      </c>
      <c r="B39" s="42" t="s">
        <v>98</v>
      </c>
      <c r="C39" s="6" t="str">
        <f>VLOOKUP(RIGHT(B39, 8), 'Các bảng tham chiếu &amp; Thống kê'!$B$14:$C$52, 2, FALSE)</f>
        <v>Nguyễn Thị Phương Thảo</v>
      </c>
      <c r="D39" s="38">
        <f>VLOOKUP(RIGHT(B39, 8), 'Điểm thực hành các buổi'!$B$3:$F$41, 3, FALSE)</f>
        <v>0.4</v>
      </c>
      <c r="E39" s="45">
        <f>VLOOKUP(RIGHT(B39, 8), 'Điểm thực hành các buổi'!$B$3:$F$41, 4, FALSE)</f>
        <v>0.45</v>
      </c>
      <c r="F39" s="38">
        <f>VLOOKUP(RIGHT(B39, 8), 'Điểm thực hành các buổi'!$B$3:$F$41, 5, FALSE)</f>
        <v>0.45</v>
      </c>
      <c r="G39" s="38">
        <f>VLOOKUP(RIGHT(B39, 8), 'Điểm bài tập lớn'!$B$3:$D$41, 3, FALSE)</f>
        <v>1</v>
      </c>
      <c r="H39" s="38">
        <f>VLOOKUP(RIGHT(B39, 8), 'Điểm lý thuyết'!$B$3:$D$41, 3, FALSE)</f>
        <v>-3</v>
      </c>
      <c r="I39" s="34">
        <f t="shared" si="0"/>
        <v>0</v>
      </c>
      <c r="J39" s="38">
        <f>ROUND(IF(OR(G39=0, VALUE(LEFT(B39,1))&gt;2), 0, I39 + VLOOKUP(VALUE(LEFT(B39,1)), 'Các bảng tham chiếu &amp; Thống kê'!$E$3:$F$5, 2, FALSE)), 1)</f>
        <v>0</v>
      </c>
      <c r="K39" s="38" t="str">
        <f>VLOOKUP(J39, 'Các bảng tham chiếu &amp; Thống kê'!$A$3:$B$10, 2, TRUE)</f>
        <v>F</v>
      </c>
    </row>
    <row r="40" spans="1:11" x14ac:dyDescent="0.2">
      <c r="A40" s="41">
        <v>34</v>
      </c>
      <c r="B40" s="42" t="s">
        <v>99</v>
      </c>
      <c r="C40" s="6" t="str">
        <f>VLOOKUP(RIGHT(B40, 8), 'Các bảng tham chiếu &amp; Thống kê'!$B$14:$C$52, 2, FALSE)</f>
        <v>Nguyễn Chí Tôn</v>
      </c>
      <c r="D40" s="38">
        <f>VLOOKUP(RIGHT(B40, 8), 'Điểm thực hành các buổi'!$B$3:$F$41, 3, FALSE)</f>
        <v>0.4</v>
      </c>
      <c r="E40" s="45">
        <f>VLOOKUP(RIGHT(B40, 8), 'Điểm thực hành các buổi'!$B$3:$F$41, 4, FALSE)</f>
        <v>0</v>
      </c>
      <c r="F40" s="38">
        <f>VLOOKUP(RIGHT(B40, 8), 'Điểm thực hành các buổi'!$B$3:$F$41, 5, FALSE)</f>
        <v>0.45</v>
      </c>
      <c r="G40" s="38">
        <f>VLOOKUP(RIGHT(B40, 8), 'Điểm bài tập lớn'!$B$3:$D$41, 3, FALSE)</f>
        <v>0.75</v>
      </c>
      <c r="H40" s="38">
        <f>VLOOKUP(RIGHT(B40, 8), 'Điểm lý thuyết'!$B$3:$D$41, 3, FALSE)</f>
        <v>8.3000000000000007</v>
      </c>
      <c r="I40" s="34">
        <f t="shared" si="0"/>
        <v>6.6</v>
      </c>
      <c r="J40" s="38">
        <f>ROUND(IF(OR(G40=0, VALUE(LEFT(B40,1))&gt;2), 0, I40 + VLOOKUP(VALUE(LEFT(B40,1)), 'Các bảng tham chiếu &amp; Thống kê'!$E$3:$F$5, 2, FALSE)), 1)</f>
        <v>7.1</v>
      </c>
      <c r="K40" s="38" t="str">
        <f>VLOOKUP(J40, 'Các bảng tham chiếu &amp; Thống kê'!$A$3:$B$10, 2, TRUE)</f>
        <v xml:space="preserve">B </v>
      </c>
    </row>
    <row r="41" spans="1:11" x14ac:dyDescent="0.2">
      <c r="A41" s="41">
        <v>35</v>
      </c>
      <c r="B41" s="44" t="s">
        <v>100</v>
      </c>
      <c r="C41" s="6" t="str">
        <f>VLOOKUP(RIGHT(B41, 8), 'Các bảng tham chiếu &amp; Thống kê'!$B$14:$C$52, 2, FALSE)</f>
        <v>Trịnh Uyên</v>
      </c>
      <c r="D41" s="38">
        <f>VLOOKUP(RIGHT(B41, 8), 'Điểm thực hành các buổi'!$B$3:$F$41, 3, FALSE)</f>
        <v>0.5</v>
      </c>
      <c r="E41" s="45">
        <f>VLOOKUP(RIGHT(B41, 8), 'Điểm thực hành các buổi'!$B$3:$F$41, 4, FALSE)</f>
        <v>0</v>
      </c>
      <c r="F41" s="38">
        <f>VLOOKUP(RIGHT(B41, 8), 'Điểm thực hành các buổi'!$B$3:$F$41, 5, FALSE)</f>
        <v>0</v>
      </c>
      <c r="G41" s="38">
        <f>VLOOKUP(RIGHT(B41, 8), 'Điểm bài tập lớn'!$B$3:$D$41, 3, FALSE)</f>
        <v>0</v>
      </c>
      <c r="H41" s="38">
        <f>VLOOKUP(RIGHT(B41, 8), 'Điểm lý thuyết'!$B$3:$D$41, 3, FALSE)</f>
        <v>7.5</v>
      </c>
      <c r="I41" s="34">
        <f t="shared" si="0"/>
        <v>5</v>
      </c>
      <c r="J41" s="38">
        <f>ROUND(IF(OR(G41=0, VALUE(LEFT(B41,1))&gt;2), 0, I41 + VLOOKUP(VALUE(LEFT(B41,1)), 'Các bảng tham chiếu &amp; Thống kê'!$E$3:$F$5, 2, FALSE)), 1)</f>
        <v>0</v>
      </c>
      <c r="K41" s="38" t="str">
        <f>VLOOKUP(J41, 'Các bảng tham chiếu &amp; Thống kê'!$A$3:$B$10, 2, TRUE)</f>
        <v>F</v>
      </c>
    </row>
    <row r="42" spans="1:11" x14ac:dyDescent="0.2">
      <c r="A42" s="41">
        <v>36</v>
      </c>
      <c r="B42" s="44" t="s">
        <v>101</v>
      </c>
      <c r="C42" s="6" t="str">
        <f>VLOOKUP(RIGHT(B42, 8), 'Các bảng tham chiếu &amp; Thống kê'!$B$14:$C$52, 2, FALSE)</f>
        <v>Nguyễn Anh Thư</v>
      </c>
      <c r="D42" s="38">
        <f>VLOOKUP(RIGHT(B42, 8), 'Điểm thực hành các buổi'!$B$3:$F$41, 3, FALSE)</f>
        <v>0.5</v>
      </c>
      <c r="E42" s="45">
        <f>VLOOKUP(RIGHT(B42, 8), 'Điểm thực hành các buổi'!$B$3:$F$41, 4, FALSE)</f>
        <v>0.35</v>
      </c>
      <c r="F42" s="38">
        <f>VLOOKUP(RIGHT(B42, 8), 'Điểm thực hành các buổi'!$B$3:$F$41, 5, FALSE)</f>
        <v>0.45</v>
      </c>
      <c r="G42" s="38">
        <f>VLOOKUP(RIGHT(B42, 8), 'Điểm bài tập lớn'!$B$3:$D$41, 3, FALSE)</f>
        <v>0.5</v>
      </c>
      <c r="H42" s="38">
        <f>VLOOKUP(RIGHT(B42, 8), 'Điểm lý thuyết'!$B$3:$D$41, 3, FALSE)</f>
        <v>5.5</v>
      </c>
      <c r="I42" s="34">
        <f t="shared" si="0"/>
        <v>5.0999999999999996</v>
      </c>
      <c r="J42" s="38">
        <f>ROUND(IF(OR(G42=0, VALUE(LEFT(B42,1))&gt;2), 0, I42 + VLOOKUP(VALUE(LEFT(B42,1)), 'Các bảng tham chiếu &amp; Thống kê'!$E$3:$F$5, 2, FALSE)), 1)</f>
        <v>5.6</v>
      </c>
      <c r="K42" s="38" t="str">
        <f>VLOOKUP(J42, 'Các bảng tham chiếu &amp; Thống kê'!$A$3:$B$10, 2, TRUE)</f>
        <v xml:space="preserve">C </v>
      </c>
    </row>
    <row r="43" spans="1:11" x14ac:dyDescent="0.2">
      <c r="A43" s="41">
        <v>37</v>
      </c>
      <c r="B43" s="44" t="s">
        <v>102</v>
      </c>
      <c r="C43" s="6" t="str">
        <f>VLOOKUP(RIGHT(B43, 8), 'Các bảng tham chiếu &amp; Thống kê'!$B$14:$C$52, 2, FALSE)</f>
        <v>Huỳnh Lê Tỷ</v>
      </c>
      <c r="D43" s="38">
        <f>VLOOKUP(RIGHT(B43, 8), 'Điểm thực hành các buổi'!$B$3:$F$41, 3, FALSE)</f>
        <v>0.5</v>
      </c>
      <c r="E43" s="45">
        <f>VLOOKUP(RIGHT(B43, 8), 'Điểm thực hành các buổi'!$B$3:$F$41, 4, FALSE)</f>
        <v>0.4</v>
      </c>
      <c r="F43" s="38">
        <f>VLOOKUP(RIGHT(B43, 8), 'Điểm thực hành các buổi'!$B$3:$F$41, 5, FALSE)</f>
        <v>0.4</v>
      </c>
      <c r="G43" s="38">
        <f>VLOOKUP(RIGHT(B43, 8), 'Điểm bài tập lớn'!$B$3:$D$41, 3, FALSE)</f>
        <v>0.3</v>
      </c>
      <c r="H43" s="38">
        <f>VLOOKUP(RIGHT(B43, 8), 'Điểm lý thuyết'!$B$3:$D$41, 3, FALSE)</f>
        <v>6.7</v>
      </c>
      <c r="I43" s="34">
        <f t="shared" si="0"/>
        <v>5.6</v>
      </c>
      <c r="J43" s="38">
        <f>ROUND(IF(OR(G43=0, VALUE(LEFT(B43,1))&gt;2), 0, I43 + VLOOKUP(VALUE(LEFT(B43,1)), 'Các bảng tham chiếu &amp; Thống kê'!$E$3:$F$5, 2, FALSE)), 1)</f>
        <v>6.6</v>
      </c>
      <c r="K43" s="38" t="str">
        <f>VLOOKUP(J43, 'Các bảng tham chiếu &amp; Thống kê'!$A$3:$B$10, 2, TRUE)</f>
        <v>C+</v>
      </c>
    </row>
    <row r="44" spans="1:11" x14ac:dyDescent="0.2">
      <c r="A44" s="41">
        <v>38</v>
      </c>
      <c r="B44" s="44" t="s">
        <v>103</v>
      </c>
      <c r="C44" s="6" t="str">
        <f>VLOOKUP(RIGHT(B44, 8), 'Các bảng tham chiếu &amp; Thống kê'!$B$14:$C$52, 2, FALSE)</f>
        <v>Nguyễn Ngọc Luyến</v>
      </c>
      <c r="D44" s="38">
        <f>VLOOKUP(RIGHT(B44, 8), 'Điểm thực hành các buổi'!$B$3:$F$41, 3, FALSE)</f>
        <v>0.3</v>
      </c>
      <c r="E44" s="45">
        <f>VLOOKUP(RIGHT(B44, 8), 'Điểm thực hành các buổi'!$B$3:$F$41, 4, FALSE)</f>
        <v>0.4</v>
      </c>
      <c r="F44" s="38">
        <f>VLOOKUP(RIGHT(B44, 8), 'Điểm thực hành các buổi'!$B$3:$F$41, 5, FALSE)</f>
        <v>0.45</v>
      </c>
      <c r="G44" s="38">
        <f>VLOOKUP(RIGHT(B44, 8), 'Điểm bài tập lớn'!$B$3:$D$41, 3, FALSE)</f>
        <v>1</v>
      </c>
      <c r="H44" s="38">
        <f>VLOOKUP(RIGHT(B44, 8), 'Điểm lý thuyết'!$B$3:$D$41, 3, FALSE)</f>
        <v>5.5</v>
      </c>
      <c r="I44" s="34">
        <f t="shared" si="0"/>
        <v>5.5</v>
      </c>
      <c r="J44" s="38">
        <f>ROUND(IF(OR(G44=0, VALUE(LEFT(B44,1))&gt;2), 0, I44 + VLOOKUP(VALUE(LEFT(B44,1)), 'Các bảng tham chiếu &amp; Thống kê'!$E$3:$F$5, 2, FALSE)), 1)</f>
        <v>6.5</v>
      </c>
      <c r="K44" s="38" t="str">
        <f>VLOOKUP(J44, 'Các bảng tham chiếu &amp; Thống kê'!$A$3:$B$10, 2, TRUE)</f>
        <v>C+</v>
      </c>
    </row>
    <row r="45" spans="1:11" x14ac:dyDescent="0.2">
      <c r="A45" s="41">
        <v>39</v>
      </c>
      <c r="B45" s="44" t="s">
        <v>104</v>
      </c>
      <c r="C45" s="6" t="str">
        <f>VLOOKUP(RIGHT(B45, 8), 'Các bảng tham chiếu &amp; Thống kê'!$B$14:$C$52, 2, FALSE)</f>
        <v>Võ Thị Thùy Trang</v>
      </c>
      <c r="D45" s="38">
        <f>VLOOKUP(RIGHT(B45, 8), 'Điểm thực hành các buổi'!$B$3:$F$41, 3, FALSE)</f>
        <v>0.4</v>
      </c>
      <c r="E45" s="45">
        <f>VLOOKUP(RIGHT(B45, 8), 'Điểm thực hành các buổi'!$B$3:$F$41, 4, FALSE)</f>
        <v>0.4</v>
      </c>
      <c r="F45" s="38">
        <f>VLOOKUP(RIGHT(B45, 8), 'Điểm thực hành các buổi'!$B$3:$F$41, 5, FALSE)</f>
        <v>0.4</v>
      </c>
      <c r="G45" s="38">
        <f>VLOOKUP(RIGHT(B45, 8), 'Điểm bài tập lớn'!$B$3:$D$41, 3, FALSE)</f>
        <v>0.75</v>
      </c>
      <c r="H45" s="38">
        <f>VLOOKUP(RIGHT(B45, 8), 'Điểm lý thuyết'!$B$3:$D$41, 3, FALSE)</f>
        <v>3.2</v>
      </c>
      <c r="I45" s="34">
        <f t="shared" si="0"/>
        <v>3.9</v>
      </c>
      <c r="J45" s="38">
        <f>ROUND(IF(OR(G45=0, VALUE(LEFT(B45,1))&gt;2), 0, I45 + VLOOKUP(VALUE(LEFT(B45,1)), 'Các bảng tham chiếu &amp; Thống kê'!$E$3:$F$5, 2, FALSE)), 1)</f>
        <v>4.4000000000000004</v>
      </c>
      <c r="K45" s="38" t="str">
        <f>VLOOKUP(J45, 'Các bảng tham chiếu &amp; Thống kê'!$A$3:$B$10, 2, TRUE)</f>
        <v xml:space="preserve">D </v>
      </c>
    </row>
  </sheetData>
  <autoFilter ref="A6:K45" xr:uid="{27381B2D-151A-4A3A-9410-7E93996FD847}"/>
  <mergeCells count="7">
    <mergeCell ref="B1:H1"/>
    <mergeCell ref="D2:E2"/>
    <mergeCell ref="F2:H2"/>
    <mergeCell ref="D3:E3"/>
    <mergeCell ref="D4:E4"/>
    <mergeCell ref="F3:H3"/>
    <mergeCell ref="F4:H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CE037-FBBB-4390-A965-D03E47F278FB}">
  <dimension ref="A1:F41"/>
  <sheetViews>
    <sheetView workbookViewId="0">
      <selection activeCell="H4" sqref="H4"/>
    </sheetView>
  </sheetViews>
  <sheetFormatPr defaultRowHeight="15.75" x14ac:dyDescent="0.25"/>
  <cols>
    <col min="1" max="1" width="6.375" style="15" customWidth="1"/>
    <col min="2" max="2" width="10.5" style="1" customWidth="1"/>
    <col min="3" max="3" width="21.5" style="1" customWidth="1"/>
    <col min="4" max="6" width="11.5" style="15" customWidth="1"/>
    <col min="7" max="16384" width="9" style="1"/>
  </cols>
  <sheetData>
    <row r="1" spans="1:6" s="12" customFormat="1" x14ac:dyDescent="0.25">
      <c r="A1" s="53" t="s">
        <v>35</v>
      </c>
      <c r="B1" s="54"/>
      <c r="C1" s="54"/>
      <c r="D1" s="54"/>
      <c r="E1" s="54"/>
      <c r="F1" s="54"/>
    </row>
    <row r="2" spans="1:6" s="12" customFormat="1" x14ac:dyDescent="0.25">
      <c r="A2" s="39" t="s">
        <v>10</v>
      </c>
      <c r="B2" s="13" t="s">
        <v>11</v>
      </c>
      <c r="C2" s="13" t="s">
        <v>12</v>
      </c>
      <c r="D2" s="13" t="s">
        <v>13</v>
      </c>
      <c r="E2" s="13" t="s">
        <v>14</v>
      </c>
      <c r="F2" s="13" t="s">
        <v>15</v>
      </c>
    </row>
    <row r="3" spans="1:6" x14ac:dyDescent="0.25">
      <c r="A3" s="14">
        <v>1</v>
      </c>
      <c r="B3" s="10" t="s">
        <v>36</v>
      </c>
      <c r="C3" s="10" t="s">
        <v>105</v>
      </c>
      <c r="D3" s="14">
        <v>0.45</v>
      </c>
      <c r="E3" s="14">
        <v>0.25</v>
      </c>
      <c r="F3" s="14">
        <v>0.3</v>
      </c>
    </row>
    <row r="4" spans="1:6" x14ac:dyDescent="0.25">
      <c r="A4" s="14">
        <v>2</v>
      </c>
      <c r="B4" s="10" t="s">
        <v>37</v>
      </c>
      <c r="C4" s="10" t="s">
        <v>50</v>
      </c>
      <c r="D4" s="14">
        <v>0.5</v>
      </c>
      <c r="E4" s="14">
        <v>0.35</v>
      </c>
      <c r="F4" s="14">
        <v>0.4</v>
      </c>
    </row>
    <row r="5" spans="1:6" x14ac:dyDescent="0.25">
      <c r="A5" s="14">
        <v>3</v>
      </c>
      <c r="B5" s="10" t="s">
        <v>38</v>
      </c>
      <c r="C5" s="10" t="s">
        <v>51</v>
      </c>
      <c r="D5" s="14">
        <v>0.25</v>
      </c>
      <c r="E5" s="14">
        <v>0.25</v>
      </c>
      <c r="F5" s="14">
        <v>0.3</v>
      </c>
    </row>
    <row r="6" spans="1:6" x14ac:dyDescent="0.25">
      <c r="A6" s="14">
        <v>4</v>
      </c>
      <c r="B6" s="10" t="s">
        <v>39</v>
      </c>
      <c r="C6" s="10" t="s">
        <v>52</v>
      </c>
      <c r="D6" s="14">
        <v>0.4</v>
      </c>
      <c r="E6" s="14">
        <v>0.25</v>
      </c>
      <c r="F6" s="14">
        <v>0.35</v>
      </c>
    </row>
    <row r="7" spans="1:6" x14ac:dyDescent="0.25">
      <c r="A7" s="14">
        <v>5</v>
      </c>
      <c r="B7" s="10" t="s">
        <v>40</v>
      </c>
      <c r="C7" s="10" t="s">
        <v>53</v>
      </c>
      <c r="D7" s="14">
        <v>0.45</v>
      </c>
      <c r="E7" s="14">
        <v>0.4</v>
      </c>
      <c r="F7" s="14">
        <v>0.35</v>
      </c>
    </row>
    <row r="8" spans="1:6" x14ac:dyDescent="0.25">
      <c r="A8" s="14">
        <v>6</v>
      </c>
      <c r="B8" s="10" t="s">
        <v>41</v>
      </c>
      <c r="C8" s="10" t="s">
        <v>106</v>
      </c>
      <c r="D8" s="14">
        <v>0.4</v>
      </c>
      <c r="E8" s="14">
        <v>0.45</v>
      </c>
      <c r="F8" s="14">
        <v>0.5</v>
      </c>
    </row>
    <row r="9" spans="1:6" x14ac:dyDescent="0.25">
      <c r="A9" s="14">
        <v>7</v>
      </c>
      <c r="B9" s="10" t="s">
        <v>42</v>
      </c>
      <c r="C9" s="10" t="s">
        <v>54</v>
      </c>
      <c r="D9" s="14">
        <v>0.4</v>
      </c>
      <c r="E9" s="14">
        <v>0.4</v>
      </c>
      <c r="F9" s="14">
        <v>0.4</v>
      </c>
    </row>
    <row r="10" spans="1:6" x14ac:dyDescent="0.25">
      <c r="A10" s="14">
        <v>8</v>
      </c>
      <c r="B10" s="10" t="s">
        <v>107</v>
      </c>
      <c r="C10" s="10" t="s">
        <v>108</v>
      </c>
      <c r="D10" s="14">
        <v>0.45</v>
      </c>
      <c r="E10" s="14">
        <v>0.4</v>
      </c>
      <c r="F10" s="14">
        <v>0.4</v>
      </c>
    </row>
    <row r="11" spans="1:6" x14ac:dyDescent="0.25">
      <c r="A11" s="14">
        <v>9</v>
      </c>
      <c r="B11" s="10" t="s">
        <v>109</v>
      </c>
      <c r="C11" s="10" t="s">
        <v>110</v>
      </c>
      <c r="D11" s="14">
        <v>0.5</v>
      </c>
      <c r="E11" s="14">
        <v>0.4</v>
      </c>
      <c r="F11" s="14">
        <v>0.4</v>
      </c>
    </row>
    <row r="12" spans="1:6" x14ac:dyDescent="0.25">
      <c r="A12" s="14">
        <v>10</v>
      </c>
      <c r="B12" s="10" t="s">
        <v>43</v>
      </c>
      <c r="C12" s="10" t="s">
        <v>111</v>
      </c>
      <c r="D12" s="46">
        <v>0.45</v>
      </c>
      <c r="E12" s="14">
        <v>0.4</v>
      </c>
      <c r="F12" s="14">
        <v>0.45</v>
      </c>
    </row>
    <row r="13" spans="1:6" x14ac:dyDescent="0.25">
      <c r="A13" s="14">
        <v>11</v>
      </c>
      <c r="B13" s="10" t="s">
        <v>44</v>
      </c>
      <c r="C13" s="10" t="s">
        <v>112</v>
      </c>
      <c r="D13" s="46">
        <v>0.45</v>
      </c>
      <c r="E13" s="14">
        <v>0.4</v>
      </c>
      <c r="F13" s="14">
        <v>0.4</v>
      </c>
    </row>
    <row r="14" spans="1:6" x14ac:dyDescent="0.25">
      <c r="A14" s="14">
        <v>12</v>
      </c>
      <c r="B14" s="10" t="s">
        <v>45</v>
      </c>
      <c r="C14" s="10" t="s">
        <v>113</v>
      </c>
      <c r="D14" s="14">
        <v>0.3</v>
      </c>
      <c r="E14" s="14">
        <v>0.5</v>
      </c>
      <c r="F14" s="14">
        <v>0.45</v>
      </c>
    </row>
    <row r="15" spans="1:6" x14ac:dyDescent="0.25">
      <c r="A15" s="14">
        <v>13</v>
      </c>
      <c r="B15" s="10" t="s">
        <v>114</v>
      </c>
      <c r="C15" s="10" t="s">
        <v>115</v>
      </c>
      <c r="D15" s="14">
        <v>0.4</v>
      </c>
      <c r="E15" s="14">
        <v>0.5</v>
      </c>
      <c r="F15" s="14">
        <v>0.5</v>
      </c>
    </row>
    <row r="16" spans="1:6" x14ac:dyDescent="0.25">
      <c r="A16" s="14">
        <v>14</v>
      </c>
      <c r="B16" s="10" t="s">
        <v>116</v>
      </c>
      <c r="C16" s="10" t="s">
        <v>117</v>
      </c>
      <c r="D16" s="14">
        <v>0.5</v>
      </c>
      <c r="E16" s="14">
        <v>0.5</v>
      </c>
      <c r="F16" s="14">
        <v>0.45</v>
      </c>
    </row>
    <row r="17" spans="1:6" x14ac:dyDescent="0.25">
      <c r="A17" s="14">
        <v>15</v>
      </c>
      <c r="B17" s="10" t="s">
        <v>46</v>
      </c>
      <c r="C17" s="10" t="s">
        <v>55</v>
      </c>
      <c r="D17" s="14">
        <v>0.4</v>
      </c>
      <c r="E17" s="14">
        <v>0.45</v>
      </c>
      <c r="F17" s="14">
        <v>0.4</v>
      </c>
    </row>
    <row r="18" spans="1:6" x14ac:dyDescent="0.25">
      <c r="A18" s="14">
        <v>16</v>
      </c>
      <c r="B18" s="10" t="s">
        <v>118</v>
      </c>
      <c r="C18" s="10" t="s">
        <v>119</v>
      </c>
      <c r="D18" s="14">
        <v>0.4</v>
      </c>
      <c r="E18" s="14">
        <v>0.45</v>
      </c>
      <c r="F18" s="14">
        <v>0.45</v>
      </c>
    </row>
    <row r="19" spans="1:6" x14ac:dyDescent="0.25">
      <c r="A19" s="14">
        <v>17</v>
      </c>
      <c r="B19" s="10" t="s">
        <v>47</v>
      </c>
      <c r="C19" s="10" t="s">
        <v>56</v>
      </c>
      <c r="D19" s="14">
        <v>0.5</v>
      </c>
      <c r="E19" s="14">
        <v>0.5</v>
      </c>
      <c r="F19" s="14">
        <v>0.45</v>
      </c>
    </row>
    <row r="20" spans="1:6" x14ac:dyDescent="0.25">
      <c r="A20" s="14">
        <v>18</v>
      </c>
      <c r="B20" s="10" t="s">
        <v>120</v>
      </c>
      <c r="C20" s="10" t="s">
        <v>121</v>
      </c>
      <c r="D20" s="14">
        <v>0.4</v>
      </c>
      <c r="E20" s="14">
        <v>0.4</v>
      </c>
      <c r="F20" s="14">
        <v>0.4</v>
      </c>
    </row>
    <row r="21" spans="1:6" x14ac:dyDescent="0.25">
      <c r="A21" s="14">
        <v>19</v>
      </c>
      <c r="B21" s="10" t="s">
        <v>48</v>
      </c>
      <c r="C21" s="10" t="s">
        <v>57</v>
      </c>
      <c r="D21" s="14">
        <v>0.4</v>
      </c>
      <c r="E21" s="14">
        <v>0.4</v>
      </c>
      <c r="F21" s="14">
        <v>0.35</v>
      </c>
    </row>
    <row r="22" spans="1:6" x14ac:dyDescent="0.25">
      <c r="A22" s="14">
        <v>20</v>
      </c>
      <c r="B22" s="10" t="s">
        <v>49</v>
      </c>
      <c r="C22" s="10" t="s">
        <v>122</v>
      </c>
      <c r="D22" s="14">
        <v>0.35</v>
      </c>
      <c r="E22" s="14">
        <v>0.4</v>
      </c>
      <c r="F22" s="14">
        <v>0</v>
      </c>
    </row>
    <row r="23" spans="1:6" x14ac:dyDescent="0.25">
      <c r="A23" s="14">
        <v>21</v>
      </c>
      <c r="B23" s="10" t="s">
        <v>123</v>
      </c>
      <c r="C23" s="10" t="s">
        <v>124</v>
      </c>
      <c r="D23" s="14">
        <v>0.5</v>
      </c>
      <c r="E23" s="14">
        <v>0.4</v>
      </c>
      <c r="F23" s="14">
        <v>0.45</v>
      </c>
    </row>
    <row r="24" spans="1:6" x14ac:dyDescent="0.25">
      <c r="A24" s="14">
        <v>22</v>
      </c>
      <c r="B24" s="10" t="s">
        <v>125</v>
      </c>
      <c r="C24" s="10" t="s">
        <v>126</v>
      </c>
      <c r="D24" s="14">
        <v>0.4</v>
      </c>
      <c r="E24" s="14">
        <v>0.4</v>
      </c>
      <c r="F24" s="14">
        <v>0.4</v>
      </c>
    </row>
    <row r="25" spans="1:6" x14ac:dyDescent="0.25">
      <c r="A25" s="14">
        <v>23</v>
      </c>
      <c r="B25" s="10" t="s">
        <v>127</v>
      </c>
      <c r="C25" s="10" t="s">
        <v>128</v>
      </c>
      <c r="D25" s="14">
        <v>0.5</v>
      </c>
      <c r="E25" s="14">
        <v>0.5</v>
      </c>
      <c r="F25" s="14">
        <v>0.5</v>
      </c>
    </row>
    <row r="26" spans="1:6" x14ac:dyDescent="0.25">
      <c r="A26" s="14">
        <v>24</v>
      </c>
      <c r="B26" s="10" t="s">
        <v>129</v>
      </c>
      <c r="C26" s="10" t="s">
        <v>130</v>
      </c>
      <c r="D26" s="14">
        <v>0.45</v>
      </c>
      <c r="E26" s="14">
        <v>0.3</v>
      </c>
      <c r="F26" s="14">
        <v>0.45</v>
      </c>
    </row>
    <row r="27" spans="1:6" x14ac:dyDescent="0.25">
      <c r="A27" s="14">
        <v>25</v>
      </c>
      <c r="B27" s="10" t="s">
        <v>131</v>
      </c>
      <c r="C27" s="10" t="s">
        <v>132</v>
      </c>
      <c r="D27" s="14">
        <v>0.3</v>
      </c>
      <c r="E27" s="14">
        <v>0.3</v>
      </c>
      <c r="F27" s="14">
        <v>0.4</v>
      </c>
    </row>
    <row r="28" spans="1:6" x14ac:dyDescent="0.25">
      <c r="A28" s="14">
        <v>26</v>
      </c>
      <c r="B28" s="10" t="s">
        <v>133</v>
      </c>
      <c r="C28" s="10" t="s">
        <v>134</v>
      </c>
      <c r="D28" s="14">
        <v>0.5</v>
      </c>
      <c r="E28" s="14">
        <v>0.3</v>
      </c>
      <c r="F28" s="14">
        <v>0.45</v>
      </c>
    </row>
    <row r="29" spans="1:6" x14ac:dyDescent="0.25">
      <c r="A29" s="14">
        <v>27</v>
      </c>
      <c r="B29" s="10" t="s">
        <v>135</v>
      </c>
      <c r="C29" s="10" t="s">
        <v>136</v>
      </c>
      <c r="D29" s="14">
        <v>0.5</v>
      </c>
      <c r="E29" s="14">
        <v>0.4</v>
      </c>
      <c r="F29" s="14">
        <v>0.45</v>
      </c>
    </row>
    <row r="30" spans="1:6" x14ac:dyDescent="0.25">
      <c r="A30" s="14">
        <v>28</v>
      </c>
      <c r="B30" s="10" t="s">
        <v>137</v>
      </c>
      <c r="C30" s="10" t="s">
        <v>138</v>
      </c>
      <c r="D30" s="14">
        <v>0.5</v>
      </c>
      <c r="E30" s="14">
        <v>0.45</v>
      </c>
      <c r="F30" s="14">
        <v>0.45</v>
      </c>
    </row>
    <row r="31" spans="1:6" x14ac:dyDescent="0.25">
      <c r="A31" s="14">
        <v>29</v>
      </c>
      <c r="B31" s="10" t="s">
        <v>139</v>
      </c>
      <c r="C31" s="10" t="s">
        <v>140</v>
      </c>
      <c r="D31" s="14">
        <v>0.5</v>
      </c>
      <c r="E31" s="14">
        <v>0.5</v>
      </c>
      <c r="F31" s="14">
        <v>0.5</v>
      </c>
    </row>
    <row r="32" spans="1:6" x14ac:dyDescent="0.25">
      <c r="A32" s="14">
        <v>30</v>
      </c>
      <c r="B32" s="10" t="s">
        <v>141</v>
      </c>
      <c r="C32" s="10" t="s">
        <v>142</v>
      </c>
      <c r="D32" s="14">
        <v>0.5</v>
      </c>
      <c r="E32" s="14">
        <v>0.4</v>
      </c>
      <c r="F32" s="14">
        <v>0.45</v>
      </c>
    </row>
    <row r="33" spans="1:6" x14ac:dyDescent="0.25">
      <c r="A33" s="14">
        <v>31</v>
      </c>
      <c r="B33" s="10" t="s">
        <v>143</v>
      </c>
      <c r="C33" s="10" t="s">
        <v>144</v>
      </c>
      <c r="D33" s="14">
        <v>0.4</v>
      </c>
      <c r="E33" s="14">
        <v>0.5</v>
      </c>
      <c r="F33" s="14">
        <v>0.5</v>
      </c>
    </row>
    <row r="34" spans="1:6" x14ac:dyDescent="0.25">
      <c r="A34" s="14">
        <v>32</v>
      </c>
      <c r="B34" s="10" t="s">
        <v>145</v>
      </c>
      <c r="C34" s="10" t="s">
        <v>146</v>
      </c>
      <c r="D34" s="14">
        <v>0.4</v>
      </c>
      <c r="E34" s="14">
        <v>0.4</v>
      </c>
      <c r="F34" s="14">
        <v>0.45</v>
      </c>
    </row>
    <row r="35" spans="1:6" x14ac:dyDescent="0.25">
      <c r="A35" s="14">
        <v>33</v>
      </c>
      <c r="B35" s="10" t="s">
        <v>147</v>
      </c>
      <c r="C35" s="10" t="s">
        <v>148</v>
      </c>
      <c r="D35" s="14">
        <v>0.4</v>
      </c>
      <c r="E35" s="14">
        <v>0.45</v>
      </c>
      <c r="F35" s="14">
        <v>0.45</v>
      </c>
    </row>
    <row r="36" spans="1:6" x14ac:dyDescent="0.25">
      <c r="A36" s="14">
        <v>34</v>
      </c>
      <c r="B36" s="10" t="s">
        <v>149</v>
      </c>
      <c r="C36" s="10" t="s">
        <v>150</v>
      </c>
      <c r="D36" s="14">
        <v>0.4</v>
      </c>
      <c r="E36" s="14">
        <v>0</v>
      </c>
      <c r="F36" s="14">
        <v>0.45</v>
      </c>
    </row>
    <row r="37" spans="1:6" x14ac:dyDescent="0.25">
      <c r="A37" s="14">
        <v>35</v>
      </c>
      <c r="B37" s="10" t="s">
        <v>151</v>
      </c>
      <c r="C37" s="10" t="s">
        <v>152</v>
      </c>
      <c r="D37" s="14">
        <v>0.5</v>
      </c>
      <c r="E37" s="14">
        <v>0</v>
      </c>
      <c r="F37" s="14">
        <v>0</v>
      </c>
    </row>
    <row r="38" spans="1:6" x14ac:dyDescent="0.25">
      <c r="A38" s="14">
        <v>36</v>
      </c>
      <c r="B38" s="10" t="s">
        <v>153</v>
      </c>
      <c r="C38" s="10" t="s">
        <v>154</v>
      </c>
      <c r="D38" s="14">
        <v>0.5</v>
      </c>
      <c r="E38" s="14">
        <v>0.35</v>
      </c>
      <c r="F38" s="14">
        <v>0.45</v>
      </c>
    </row>
    <row r="39" spans="1:6" x14ac:dyDescent="0.25">
      <c r="A39" s="14">
        <v>37</v>
      </c>
      <c r="B39" s="10" t="s">
        <v>155</v>
      </c>
      <c r="C39" s="10" t="s">
        <v>156</v>
      </c>
      <c r="D39" s="14">
        <v>0.5</v>
      </c>
      <c r="E39" s="14">
        <v>0.4</v>
      </c>
      <c r="F39" s="14">
        <v>0.4</v>
      </c>
    </row>
    <row r="40" spans="1:6" x14ac:dyDescent="0.25">
      <c r="A40" s="14">
        <v>38</v>
      </c>
      <c r="B40" s="10" t="s">
        <v>157</v>
      </c>
      <c r="C40" s="10" t="s">
        <v>158</v>
      </c>
      <c r="D40" s="14">
        <v>0.3</v>
      </c>
      <c r="E40" s="14">
        <v>0.4</v>
      </c>
      <c r="F40" s="14">
        <v>0.45</v>
      </c>
    </row>
    <row r="41" spans="1:6" x14ac:dyDescent="0.25">
      <c r="A41" s="14">
        <v>39</v>
      </c>
      <c r="B41" s="10" t="s">
        <v>159</v>
      </c>
      <c r="C41" s="10" t="s">
        <v>160</v>
      </c>
      <c r="D41" s="14">
        <v>0.4</v>
      </c>
      <c r="E41" s="14">
        <v>0.4</v>
      </c>
      <c r="F41" s="14">
        <v>0.4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202FE-E4C8-4C69-83E7-D3AA6EB8BF0B}">
  <dimension ref="A1:D41"/>
  <sheetViews>
    <sheetView workbookViewId="0">
      <selection activeCell="F26" sqref="E26:F26"/>
    </sheetView>
  </sheetViews>
  <sheetFormatPr defaultRowHeight="15.75" x14ac:dyDescent="0.25"/>
  <cols>
    <col min="1" max="1" width="9" style="15"/>
    <col min="2" max="2" width="9" style="1"/>
    <col min="3" max="3" width="21.5" style="1" customWidth="1"/>
    <col min="4" max="4" width="13.5" style="15" customWidth="1"/>
    <col min="5" max="16384" width="9" style="1"/>
  </cols>
  <sheetData>
    <row r="1" spans="1:4" s="11" customFormat="1" x14ac:dyDescent="0.25">
      <c r="A1" s="53" t="s">
        <v>59</v>
      </c>
      <c r="B1" s="53"/>
      <c r="C1" s="53"/>
      <c r="D1" s="53"/>
    </row>
    <row r="2" spans="1:4" s="11" customFormat="1" x14ac:dyDescent="0.25">
      <c r="A2" s="39" t="s">
        <v>10</v>
      </c>
      <c r="B2" s="13" t="s">
        <v>11</v>
      </c>
      <c r="C2" s="13" t="s">
        <v>12</v>
      </c>
      <c r="D2" s="13" t="s">
        <v>58</v>
      </c>
    </row>
    <row r="3" spans="1:4" x14ac:dyDescent="0.25">
      <c r="A3" s="14">
        <v>1</v>
      </c>
      <c r="B3" s="10" t="s">
        <v>36</v>
      </c>
      <c r="C3" s="10" t="s">
        <v>105</v>
      </c>
      <c r="D3" s="14">
        <v>0.5</v>
      </c>
    </row>
    <row r="4" spans="1:4" x14ac:dyDescent="0.25">
      <c r="A4" s="14">
        <v>2</v>
      </c>
      <c r="B4" s="10" t="s">
        <v>37</v>
      </c>
      <c r="C4" s="10" t="s">
        <v>50</v>
      </c>
      <c r="D4" s="14">
        <v>1</v>
      </c>
    </row>
    <row r="5" spans="1:4" x14ac:dyDescent="0.25">
      <c r="A5" s="14">
        <v>3</v>
      </c>
      <c r="B5" s="10" t="s">
        <v>38</v>
      </c>
      <c r="C5" s="10" t="s">
        <v>51</v>
      </c>
      <c r="D5" s="14">
        <v>0.5</v>
      </c>
    </row>
    <row r="6" spans="1:4" x14ac:dyDescent="0.25">
      <c r="A6" s="14">
        <v>4</v>
      </c>
      <c r="B6" s="10" t="s">
        <v>39</v>
      </c>
      <c r="C6" s="10" t="s">
        <v>52</v>
      </c>
      <c r="D6" s="14">
        <v>1</v>
      </c>
    </row>
    <row r="7" spans="1:4" x14ac:dyDescent="0.25">
      <c r="A7" s="14">
        <v>5</v>
      </c>
      <c r="B7" s="10" t="s">
        <v>40</v>
      </c>
      <c r="C7" s="10" t="s">
        <v>53</v>
      </c>
      <c r="D7" s="14">
        <v>0.75</v>
      </c>
    </row>
    <row r="8" spans="1:4" x14ac:dyDescent="0.25">
      <c r="A8" s="14">
        <v>6</v>
      </c>
      <c r="B8" s="10" t="s">
        <v>41</v>
      </c>
      <c r="C8" s="10" t="s">
        <v>106</v>
      </c>
      <c r="D8" s="14">
        <v>1.2</v>
      </c>
    </row>
    <row r="9" spans="1:4" x14ac:dyDescent="0.25">
      <c r="A9" s="14">
        <v>7</v>
      </c>
      <c r="B9" s="10" t="s">
        <v>42</v>
      </c>
      <c r="C9" s="10" t="s">
        <v>54</v>
      </c>
      <c r="D9" s="14">
        <v>1</v>
      </c>
    </row>
    <row r="10" spans="1:4" x14ac:dyDescent="0.25">
      <c r="A10" s="14">
        <v>8</v>
      </c>
      <c r="B10" s="10" t="s">
        <v>107</v>
      </c>
      <c r="C10" s="10" t="s">
        <v>108</v>
      </c>
      <c r="D10" s="14">
        <v>1</v>
      </c>
    </row>
    <row r="11" spans="1:4" x14ac:dyDescent="0.25">
      <c r="A11" s="14">
        <v>9</v>
      </c>
      <c r="B11" s="10" t="s">
        <v>109</v>
      </c>
      <c r="C11" s="10" t="s">
        <v>110</v>
      </c>
      <c r="D11" s="14">
        <v>1</v>
      </c>
    </row>
    <row r="12" spans="1:4" x14ac:dyDescent="0.25">
      <c r="A12" s="14">
        <v>10</v>
      </c>
      <c r="B12" s="10" t="s">
        <v>43</v>
      </c>
      <c r="C12" s="10" t="s">
        <v>111</v>
      </c>
      <c r="D12" s="14">
        <v>0</v>
      </c>
    </row>
    <row r="13" spans="1:4" x14ac:dyDescent="0.25">
      <c r="A13" s="14">
        <v>11</v>
      </c>
      <c r="B13" s="10" t="s">
        <v>44</v>
      </c>
      <c r="C13" s="10" t="s">
        <v>112</v>
      </c>
      <c r="D13" s="14">
        <v>0.75</v>
      </c>
    </row>
    <row r="14" spans="1:4" x14ac:dyDescent="0.25">
      <c r="A14" s="14">
        <v>12</v>
      </c>
      <c r="B14" s="10" t="s">
        <v>45</v>
      </c>
      <c r="C14" s="10" t="s">
        <v>113</v>
      </c>
      <c r="D14" s="14">
        <v>0.3</v>
      </c>
    </row>
    <row r="15" spans="1:4" x14ac:dyDescent="0.25">
      <c r="A15" s="14">
        <v>13</v>
      </c>
      <c r="B15" s="10" t="s">
        <v>114</v>
      </c>
      <c r="C15" s="10" t="s">
        <v>115</v>
      </c>
      <c r="D15" s="14">
        <v>1.2</v>
      </c>
    </row>
    <row r="16" spans="1:4" x14ac:dyDescent="0.25">
      <c r="A16" s="14">
        <v>14</v>
      </c>
      <c r="B16" s="10" t="s">
        <v>116</v>
      </c>
      <c r="C16" s="10" t="s">
        <v>117</v>
      </c>
      <c r="D16" s="14">
        <v>0.3</v>
      </c>
    </row>
    <row r="17" spans="1:4" x14ac:dyDescent="0.25">
      <c r="A17" s="14">
        <v>15</v>
      </c>
      <c r="B17" s="10" t="s">
        <v>46</v>
      </c>
      <c r="C17" s="10" t="s">
        <v>55</v>
      </c>
      <c r="D17" s="14">
        <v>0.3</v>
      </c>
    </row>
    <row r="18" spans="1:4" x14ac:dyDescent="0.25">
      <c r="A18" s="14">
        <v>16</v>
      </c>
      <c r="B18" s="10" t="s">
        <v>118</v>
      </c>
      <c r="C18" s="10" t="s">
        <v>119</v>
      </c>
      <c r="D18" s="14">
        <v>1</v>
      </c>
    </row>
    <row r="19" spans="1:4" x14ac:dyDescent="0.25">
      <c r="A19" s="14">
        <v>17</v>
      </c>
      <c r="B19" s="10" t="s">
        <v>47</v>
      </c>
      <c r="C19" s="10" t="s">
        <v>56</v>
      </c>
      <c r="D19" s="14">
        <v>1.5</v>
      </c>
    </row>
    <row r="20" spans="1:4" x14ac:dyDescent="0.25">
      <c r="A20" s="14">
        <v>18</v>
      </c>
      <c r="B20" s="10" t="s">
        <v>120</v>
      </c>
      <c r="C20" s="10" t="s">
        <v>121</v>
      </c>
      <c r="D20" s="14">
        <v>0.3</v>
      </c>
    </row>
    <row r="21" spans="1:4" x14ac:dyDescent="0.25">
      <c r="A21" s="14">
        <v>19</v>
      </c>
      <c r="B21" s="10" t="s">
        <v>48</v>
      </c>
      <c r="C21" s="10" t="s">
        <v>57</v>
      </c>
      <c r="D21" s="14">
        <v>1.35</v>
      </c>
    </row>
    <row r="22" spans="1:4" x14ac:dyDescent="0.25">
      <c r="A22" s="14">
        <v>20</v>
      </c>
      <c r="B22" s="10" t="s">
        <v>49</v>
      </c>
      <c r="C22" s="10" t="s">
        <v>122</v>
      </c>
      <c r="D22" s="14">
        <v>0.85</v>
      </c>
    </row>
    <row r="23" spans="1:4" x14ac:dyDescent="0.25">
      <c r="A23" s="14">
        <v>21</v>
      </c>
      <c r="B23" s="10" t="s">
        <v>123</v>
      </c>
      <c r="C23" s="10" t="s">
        <v>124</v>
      </c>
      <c r="D23" s="14">
        <v>1.35</v>
      </c>
    </row>
    <row r="24" spans="1:4" x14ac:dyDescent="0.25">
      <c r="A24" s="14">
        <v>22</v>
      </c>
      <c r="B24" s="10" t="s">
        <v>125</v>
      </c>
      <c r="C24" s="10" t="s">
        <v>126</v>
      </c>
      <c r="D24" s="14">
        <v>0</v>
      </c>
    </row>
    <row r="25" spans="1:4" x14ac:dyDescent="0.25">
      <c r="A25" s="14">
        <v>23</v>
      </c>
      <c r="B25" s="10" t="s">
        <v>127</v>
      </c>
      <c r="C25" s="10" t="s">
        <v>128</v>
      </c>
      <c r="D25" s="14">
        <v>1.5</v>
      </c>
    </row>
    <row r="26" spans="1:4" x14ac:dyDescent="0.25">
      <c r="A26" s="14">
        <v>24</v>
      </c>
      <c r="B26" s="10" t="s">
        <v>129</v>
      </c>
      <c r="C26" s="10" t="s">
        <v>130</v>
      </c>
      <c r="D26" s="14">
        <v>1.2</v>
      </c>
    </row>
    <row r="27" spans="1:4" x14ac:dyDescent="0.25">
      <c r="A27" s="14">
        <v>25</v>
      </c>
      <c r="B27" s="10" t="s">
        <v>131</v>
      </c>
      <c r="C27" s="10" t="s">
        <v>132</v>
      </c>
      <c r="D27" s="14">
        <v>0.75</v>
      </c>
    </row>
    <row r="28" spans="1:4" x14ac:dyDescent="0.25">
      <c r="A28" s="14">
        <v>26</v>
      </c>
      <c r="B28" s="10" t="s">
        <v>133</v>
      </c>
      <c r="C28" s="10" t="s">
        <v>134</v>
      </c>
      <c r="D28" s="14">
        <v>1</v>
      </c>
    </row>
    <row r="29" spans="1:4" x14ac:dyDescent="0.25">
      <c r="A29" s="14">
        <v>27</v>
      </c>
      <c r="B29" s="10" t="s">
        <v>135</v>
      </c>
      <c r="C29" s="10" t="s">
        <v>136</v>
      </c>
      <c r="D29" s="14">
        <v>1.5</v>
      </c>
    </row>
    <row r="30" spans="1:4" x14ac:dyDescent="0.25">
      <c r="A30" s="14">
        <v>28</v>
      </c>
      <c r="B30" s="10" t="s">
        <v>137</v>
      </c>
      <c r="C30" s="10" t="s">
        <v>138</v>
      </c>
      <c r="D30" s="14">
        <v>1</v>
      </c>
    </row>
    <row r="31" spans="1:4" x14ac:dyDescent="0.25">
      <c r="A31" s="14">
        <v>29</v>
      </c>
      <c r="B31" s="10" t="s">
        <v>139</v>
      </c>
      <c r="C31" s="10" t="s">
        <v>140</v>
      </c>
      <c r="D31" s="14">
        <v>0</v>
      </c>
    </row>
    <row r="32" spans="1:4" x14ac:dyDescent="0.25">
      <c r="A32" s="14">
        <v>30</v>
      </c>
      <c r="B32" s="10" t="s">
        <v>141</v>
      </c>
      <c r="C32" s="10" t="s">
        <v>142</v>
      </c>
      <c r="D32" s="14">
        <v>1</v>
      </c>
    </row>
    <row r="33" spans="1:4" x14ac:dyDescent="0.25">
      <c r="A33" s="14">
        <v>31</v>
      </c>
      <c r="B33" s="10" t="s">
        <v>143</v>
      </c>
      <c r="C33" s="10" t="s">
        <v>144</v>
      </c>
      <c r="D33" s="14">
        <v>1</v>
      </c>
    </row>
    <row r="34" spans="1:4" x14ac:dyDescent="0.25">
      <c r="A34" s="14">
        <v>32</v>
      </c>
      <c r="B34" s="10" t="s">
        <v>145</v>
      </c>
      <c r="C34" s="10" t="s">
        <v>146</v>
      </c>
      <c r="D34" s="14">
        <v>1</v>
      </c>
    </row>
    <row r="35" spans="1:4" x14ac:dyDescent="0.25">
      <c r="A35" s="14">
        <v>33</v>
      </c>
      <c r="B35" s="10" t="s">
        <v>147</v>
      </c>
      <c r="C35" s="10" t="s">
        <v>148</v>
      </c>
      <c r="D35" s="14">
        <v>1</v>
      </c>
    </row>
    <row r="36" spans="1:4" x14ac:dyDescent="0.25">
      <c r="A36" s="14">
        <v>34</v>
      </c>
      <c r="B36" s="10" t="s">
        <v>149</v>
      </c>
      <c r="C36" s="10" t="s">
        <v>150</v>
      </c>
      <c r="D36" s="14">
        <v>0.75</v>
      </c>
    </row>
    <row r="37" spans="1:4" x14ac:dyDescent="0.25">
      <c r="A37" s="14">
        <v>35</v>
      </c>
      <c r="B37" s="10" t="s">
        <v>151</v>
      </c>
      <c r="C37" s="10" t="s">
        <v>152</v>
      </c>
      <c r="D37" s="14">
        <v>0</v>
      </c>
    </row>
    <row r="38" spans="1:4" x14ac:dyDescent="0.25">
      <c r="A38" s="14">
        <v>36</v>
      </c>
      <c r="B38" s="10" t="s">
        <v>153</v>
      </c>
      <c r="C38" s="10" t="s">
        <v>154</v>
      </c>
      <c r="D38" s="14">
        <v>0.5</v>
      </c>
    </row>
    <row r="39" spans="1:4" x14ac:dyDescent="0.25">
      <c r="A39" s="14">
        <v>37</v>
      </c>
      <c r="B39" s="10" t="s">
        <v>155</v>
      </c>
      <c r="C39" s="10" t="s">
        <v>156</v>
      </c>
      <c r="D39" s="14">
        <v>0.3</v>
      </c>
    </row>
    <row r="40" spans="1:4" x14ac:dyDescent="0.25">
      <c r="A40" s="14">
        <v>38</v>
      </c>
      <c r="B40" s="10" t="s">
        <v>157</v>
      </c>
      <c r="C40" s="10" t="s">
        <v>158</v>
      </c>
      <c r="D40" s="14">
        <v>1</v>
      </c>
    </row>
    <row r="41" spans="1:4" x14ac:dyDescent="0.25">
      <c r="A41" s="14">
        <v>39</v>
      </c>
      <c r="B41" s="10" t="s">
        <v>159</v>
      </c>
      <c r="C41" s="10" t="s">
        <v>160</v>
      </c>
      <c r="D41" s="14">
        <v>0.75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08391-5047-4573-B81D-0CF10624C9E4}">
  <dimension ref="A1:D41"/>
  <sheetViews>
    <sheetView workbookViewId="0">
      <selection activeCell="E16" sqref="E16"/>
    </sheetView>
  </sheetViews>
  <sheetFormatPr defaultRowHeight="15.75" x14ac:dyDescent="0.25"/>
  <cols>
    <col min="1" max="1" width="9" style="19"/>
    <col min="2" max="2" width="9" style="16"/>
    <col min="3" max="3" width="21.625" style="16" customWidth="1"/>
    <col min="4" max="4" width="18.25" style="19" customWidth="1"/>
    <col min="5" max="16384" width="9" style="16"/>
  </cols>
  <sheetData>
    <row r="1" spans="1:4" s="17" customFormat="1" x14ac:dyDescent="0.25">
      <c r="A1" s="55" t="s">
        <v>60</v>
      </c>
      <c r="B1" s="55"/>
      <c r="C1" s="55"/>
      <c r="D1" s="55"/>
    </row>
    <row r="2" spans="1:4" s="18" customFormat="1" x14ac:dyDescent="0.25">
      <c r="A2" s="20" t="s">
        <v>10</v>
      </c>
      <c r="B2" s="20" t="s">
        <v>11</v>
      </c>
      <c r="C2" s="20" t="s">
        <v>12</v>
      </c>
      <c r="D2" s="21" t="s">
        <v>60</v>
      </c>
    </row>
    <row r="3" spans="1:4" x14ac:dyDescent="0.25">
      <c r="A3" s="14">
        <v>1</v>
      </c>
      <c r="B3" s="10" t="s">
        <v>36</v>
      </c>
      <c r="C3" s="10" t="s">
        <v>105</v>
      </c>
      <c r="D3" s="22">
        <v>4.2</v>
      </c>
    </row>
    <row r="4" spans="1:4" x14ac:dyDescent="0.25">
      <c r="A4" s="14">
        <v>2</v>
      </c>
      <c r="B4" s="10" t="s">
        <v>37</v>
      </c>
      <c r="C4" s="10" t="s">
        <v>50</v>
      </c>
      <c r="D4" s="22">
        <v>5.8</v>
      </c>
    </row>
    <row r="5" spans="1:4" x14ac:dyDescent="0.25">
      <c r="A5" s="14">
        <v>3</v>
      </c>
      <c r="B5" s="10" t="s">
        <v>38</v>
      </c>
      <c r="C5" s="10" t="s">
        <v>51</v>
      </c>
      <c r="D5" s="22">
        <v>5.8</v>
      </c>
    </row>
    <row r="6" spans="1:4" x14ac:dyDescent="0.25">
      <c r="A6" s="14">
        <v>4</v>
      </c>
      <c r="B6" s="10" t="s">
        <v>39</v>
      </c>
      <c r="C6" s="10" t="s">
        <v>52</v>
      </c>
      <c r="D6" s="22">
        <v>4.5</v>
      </c>
    </row>
    <row r="7" spans="1:4" x14ac:dyDescent="0.25">
      <c r="A7" s="14">
        <v>5</v>
      </c>
      <c r="B7" s="10" t="s">
        <v>40</v>
      </c>
      <c r="C7" s="10" t="s">
        <v>53</v>
      </c>
      <c r="D7" s="22">
        <v>5.5</v>
      </c>
    </row>
    <row r="8" spans="1:4" x14ac:dyDescent="0.25">
      <c r="A8" s="14">
        <v>6</v>
      </c>
      <c r="B8" s="10" t="s">
        <v>41</v>
      </c>
      <c r="C8" s="10" t="s">
        <v>106</v>
      </c>
      <c r="D8" s="22">
        <v>7.5</v>
      </c>
    </row>
    <row r="9" spans="1:4" x14ac:dyDescent="0.25">
      <c r="A9" s="14">
        <v>7</v>
      </c>
      <c r="B9" s="10" t="s">
        <v>42</v>
      </c>
      <c r="C9" s="10" t="s">
        <v>54</v>
      </c>
      <c r="D9" s="22">
        <v>5.3</v>
      </c>
    </row>
    <row r="10" spans="1:4" x14ac:dyDescent="0.25">
      <c r="A10" s="14">
        <v>8</v>
      </c>
      <c r="B10" s="10" t="s">
        <v>107</v>
      </c>
      <c r="C10" s="10" t="s">
        <v>108</v>
      </c>
      <c r="D10" s="22">
        <v>7.7</v>
      </c>
    </row>
    <row r="11" spans="1:4" x14ac:dyDescent="0.25">
      <c r="A11" s="14">
        <v>9</v>
      </c>
      <c r="B11" s="10" t="s">
        <v>109</v>
      </c>
      <c r="C11" s="10" t="s">
        <v>110</v>
      </c>
      <c r="D11" s="22">
        <v>-3</v>
      </c>
    </row>
    <row r="12" spans="1:4" x14ac:dyDescent="0.25">
      <c r="A12" s="14">
        <v>10</v>
      </c>
      <c r="B12" s="10" t="s">
        <v>43</v>
      </c>
      <c r="C12" s="10" t="s">
        <v>111</v>
      </c>
      <c r="D12" s="22">
        <v>6.8</v>
      </c>
    </row>
    <row r="13" spans="1:4" x14ac:dyDescent="0.25">
      <c r="A13" s="14">
        <v>11</v>
      </c>
      <c r="B13" s="10" t="s">
        <v>44</v>
      </c>
      <c r="C13" s="10" t="s">
        <v>112</v>
      </c>
      <c r="D13" s="22">
        <v>6.3</v>
      </c>
    </row>
    <row r="14" spans="1:4" x14ac:dyDescent="0.25">
      <c r="A14" s="14">
        <v>12</v>
      </c>
      <c r="B14" s="10" t="s">
        <v>45</v>
      </c>
      <c r="C14" s="10" t="s">
        <v>113</v>
      </c>
      <c r="D14" s="22">
        <v>8.3000000000000007</v>
      </c>
    </row>
    <row r="15" spans="1:4" x14ac:dyDescent="0.25">
      <c r="A15" s="14">
        <v>13</v>
      </c>
      <c r="B15" s="10" t="s">
        <v>114</v>
      </c>
      <c r="C15" s="10" t="s">
        <v>115</v>
      </c>
      <c r="D15" s="22">
        <v>5.5</v>
      </c>
    </row>
    <row r="16" spans="1:4" x14ac:dyDescent="0.25">
      <c r="A16" s="14">
        <v>14</v>
      </c>
      <c r="B16" s="10" t="s">
        <v>116</v>
      </c>
      <c r="C16" s="10" t="s">
        <v>117</v>
      </c>
      <c r="D16" s="22">
        <v>6</v>
      </c>
    </row>
    <row r="17" spans="1:4" x14ac:dyDescent="0.25">
      <c r="A17" s="22">
        <v>15</v>
      </c>
      <c r="B17" s="23" t="s">
        <v>46</v>
      </c>
      <c r="C17" s="23" t="s">
        <v>55</v>
      </c>
      <c r="D17" s="22">
        <v>-3</v>
      </c>
    </row>
    <row r="18" spans="1:4" x14ac:dyDescent="0.25">
      <c r="A18" s="22">
        <v>16</v>
      </c>
      <c r="B18" s="23" t="s">
        <v>118</v>
      </c>
      <c r="C18" s="23" t="s">
        <v>119</v>
      </c>
      <c r="D18" s="22">
        <v>5.7</v>
      </c>
    </row>
    <row r="19" spans="1:4" x14ac:dyDescent="0.25">
      <c r="A19" s="22">
        <v>17</v>
      </c>
      <c r="B19" s="23" t="s">
        <v>47</v>
      </c>
      <c r="C19" s="23" t="s">
        <v>56</v>
      </c>
      <c r="D19" s="22">
        <v>7</v>
      </c>
    </row>
    <row r="20" spans="1:4" x14ac:dyDescent="0.25">
      <c r="A20" s="22">
        <v>18</v>
      </c>
      <c r="B20" s="23" t="s">
        <v>120</v>
      </c>
      <c r="C20" s="23" t="s">
        <v>121</v>
      </c>
      <c r="D20" s="22">
        <v>6.5</v>
      </c>
    </row>
    <row r="21" spans="1:4" x14ac:dyDescent="0.25">
      <c r="A21" s="22">
        <v>19</v>
      </c>
      <c r="B21" s="23" t="s">
        <v>48</v>
      </c>
      <c r="C21" s="23" t="s">
        <v>57</v>
      </c>
      <c r="D21" s="22">
        <v>-3</v>
      </c>
    </row>
    <row r="22" spans="1:4" x14ac:dyDescent="0.25">
      <c r="A22" s="22">
        <v>20</v>
      </c>
      <c r="B22" s="23" t="s">
        <v>49</v>
      </c>
      <c r="C22" s="23" t="s">
        <v>122</v>
      </c>
      <c r="D22" s="22">
        <v>6.5</v>
      </c>
    </row>
    <row r="23" spans="1:4" x14ac:dyDescent="0.25">
      <c r="A23" s="22">
        <v>21</v>
      </c>
      <c r="B23" s="23" t="s">
        <v>123</v>
      </c>
      <c r="C23" s="23" t="s">
        <v>124</v>
      </c>
      <c r="D23" s="22">
        <v>6.7</v>
      </c>
    </row>
    <row r="24" spans="1:4" x14ac:dyDescent="0.25">
      <c r="A24" s="22">
        <v>22</v>
      </c>
      <c r="B24" s="23" t="s">
        <v>125</v>
      </c>
      <c r="C24" s="23" t="s">
        <v>126</v>
      </c>
      <c r="D24" s="22">
        <v>4.5</v>
      </c>
    </row>
    <row r="25" spans="1:4" x14ac:dyDescent="0.25">
      <c r="A25" s="22">
        <v>23</v>
      </c>
      <c r="B25" s="23" t="s">
        <v>127</v>
      </c>
      <c r="C25" s="23" t="s">
        <v>128</v>
      </c>
      <c r="D25" s="22">
        <v>7.5</v>
      </c>
    </row>
    <row r="26" spans="1:4" x14ac:dyDescent="0.25">
      <c r="A26" s="22">
        <v>24</v>
      </c>
      <c r="B26" s="23" t="s">
        <v>129</v>
      </c>
      <c r="C26" s="23" t="s">
        <v>130</v>
      </c>
      <c r="D26" s="22">
        <v>8.8000000000000007</v>
      </c>
    </row>
    <row r="27" spans="1:4" x14ac:dyDescent="0.25">
      <c r="A27" s="22">
        <v>25</v>
      </c>
      <c r="B27" s="23" t="s">
        <v>131</v>
      </c>
      <c r="C27" s="23" t="s">
        <v>132</v>
      </c>
      <c r="D27" s="22">
        <v>6.8</v>
      </c>
    </row>
    <row r="28" spans="1:4" x14ac:dyDescent="0.25">
      <c r="A28" s="22">
        <v>26</v>
      </c>
      <c r="B28" s="23" t="s">
        <v>133</v>
      </c>
      <c r="C28" s="23" t="s">
        <v>134</v>
      </c>
      <c r="D28" s="22">
        <v>7.8</v>
      </c>
    </row>
    <row r="29" spans="1:4" x14ac:dyDescent="0.25">
      <c r="A29" s="22">
        <v>27</v>
      </c>
      <c r="B29" s="23" t="s">
        <v>135</v>
      </c>
      <c r="C29" s="23" t="s">
        <v>136</v>
      </c>
      <c r="D29" s="22">
        <v>8.8000000000000007</v>
      </c>
    </row>
    <row r="30" spans="1:4" x14ac:dyDescent="0.25">
      <c r="A30" s="22">
        <v>28</v>
      </c>
      <c r="B30" s="23" t="s">
        <v>137</v>
      </c>
      <c r="C30" s="23" t="s">
        <v>138</v>
      </c>
      <c r="D30" s="22">
        <v>7.8</v>
      </c>
    </row>
    <row r="31" spans="1:4" x14ac:dyDescent="0.25">
      <c r="A31" s="22">
        <v>29</v>
      </c>
      <c r="B31" s="23" t="s">
        <v>139</v>
      </c>
      <c r="C31" s="23" t="s">
        <v>140</v>
      </c>
      <c r="D31" s="22">
        <v>7.7</v>
      </c>
    </row>
    <row r="32" spans="1:4" x14ac:dyDescent="0.25">
      <c r="A32" s="22">
        <v>30</v>
      </c>
      <c r="B32" s="23" t="s">
        <v>141</v>
      </c>
      <c r="C32" s="23" t="s">
        <v>142</v>
      </c>
      <c r="D32" s="22">
        <v>-3</v>
      </c>
    </row>
    <row r="33" spans="1:4" x14ac:dyDescent="0.25">
      <c r="A33" s="22">
        <v>31</v>
      </c>
      <c r="B33" s="23" t="s">
        <v>143</v>
      </c>
      <c r="C33" s="23" t="s">
        <v>144</v>
      </c>
      <c r="D33" s="22">
        <v>9.1999999999999993</v>
      </c>
    </row>
    <row r="34" spans="1:4" x14ac:dyDescent="0.25">
      <c r="A34" s="22">
        <v>32</v>
      </c>
      <c r="B34" s="23" t="s">
        <v>145</v>
      </c>
      <c r="C34" s="23" t="s">
        <v>146</v>
      </c>
      <c r="D34" s="22">
        <v>7.5</v>
      </c>
    </row>
    <row r="35" spans="1:4" x14ac:dyDescent="0.25">
      <c r="A35" s="22">
        <v>33</v>
      </c>
      <c r="B35" s="23" t="s">
        <v>147</v>
      </c>
      <c r="C35" s="23" t="s">
        <v>148</v>
      </c>
      <c r="D35" s="22">
        <v>-3</v>
      </c>
    </row>
    <row r="36" spans="1:4" x14ac:dyDescent="0.25">
      <c r="A36" s="22">
        <v>34</v>
      </c>
      <c r="B36" s="23" t="s">
        <v>149</v>
      </c>
      <c r="C36" s="23" t="s">
        <v>150</v>
      </c>
      <c r="D36" s="22">
        <v>8.3000000000000007</v>
      </c>
    </row>
    <row r="37" spans="1:4" x14ac:dyDescent="0.25">
      <c r="A37" s="22">
        <v>35</v>
      </c>
      <c r="B37" s="23" t="s">
        <v>151</v>
      </c>
      <c r="C37" s="23" t="s">
        <v>152</v>
      </c>
      <c r="D37" s="22">
        <v>7.5</v>
      </c>
    </row>
    <row r="38" spans="1:4" x14ac:dyDescent="0.25">
      <c r="A38" s="22">
        <v>36</v>
      </c>
      <c r="B38" s="23" t="s">
        <v>153</v>
      </c>
      <c r="C38" s="23" t="s">
        <v>154</v>
      </c>
      <c r="D38" s="22">
        <v>5.5</v>
      </c>
    </row>
    <row r="39" spans="1:4" x14ac:dyDescent="0.25">
      <c r="A39" s="22">
        <v>37</v>
      </c>
      <c r="B39" s="23" t="s">
        <v>155</v>
      </c>
      <c r="C39" s="23" t="s">
        <v>156</v>
      </c>
      <c r="D39" s="22">
        <v>6.7</v>
      </c>
    </row>
    <row r="40" spans="1:4" x14ac:dyDescent="0.25">
      <c r="A40" s="22">
        <v>38</v>
      </c>
      <c r="B40" s="23" t="s">
        <v>157</v>
      </c>
      <c r="C40" s="23" t="s">
        <v>158</v>
      </c>
      <c r="D40" s="22">
        <v>5.5</v>
      </c>
    </row>
    <row r="41" spans="1:4" x14ac:dyDescent="0.25">
      <c r="A41" s="22">
        <v>39</v>
      </c>
      <c r="B41" s="23" t="s">
        <v>159</v>
      </c>
      <c r="C41" s="23" t="s">
        <v>160</v>
      </c>
      <c r="D41" s="22">
        <v>3.2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F0A48-9067-46DE-8837-83FA29F43536}">
  <dimension ref="A1:G52"/>
  <sheetViews>
    <sheetView topLeftCell="A8" zoomScaleNormal="100" workbookViewId="0">
      <selection activeCell="H20" sqref="H20"/>
    </sheetView>
  </sheetViews>
  <sheetFormatPr defaultRowHeight="15.75" x14ac:dyDescent="0.25"/>
  <cols>
    <col min="1" max="1" width="14.625" style="16" customWidth="1"/>
    <col min="2" max="2" width="11" style="16" customWidth="1"/>
    <col min="3" max="3" width="22.5" style="16" customWidth="1"/>
    <col min="4" max="4" width="4.375" style="16" customWidth="1"/>
    <col min="5" max="5" width="19.625" style="16" customWidth="1"/>
    <col min="6" max="6" width="15.375" style="16" customWidth="1"/>
    <col min="7" max="16384" width="9" style="16"/>
  </cols>
  <sheetData>
    <row r="1" spans="1:7" x14ac:dyDescent="0.25">
      <c r="A1" s="64" t="s">
        <v>61</v>
      </c>
      <c r="B1" s="65"/>
      <c r="C1" s="66"/>
      <c r="D1" s="26"/>
      <c r="E1" s="64" t="s">
        <v>63</v>
      </c>
      <c r="F1" s="66"/>
      <c r="G1" s="24"/>
    </row>
    <row r="2" spans="1:7" ht="31.5" x14ac:dyDescent="0.25">
      <c r="A2" s="32" t="s">
        <v>19</v>
      </c>
      <c r="B2" s="27" t="s">
        <v>20</v>
      </c>
      <c r="C2" s="27" t="s">
        <v>62</v>
      </c>
      <c r="D2" s="26"/>
      <c r="E2" s="27" t="s">
        <v>64</v>
      </c>
      <c r="F2" s="28" t="s">
        <v>65</v>
      </c>
      <c r="G2" s="24"/>
    </row>
    <row r="3" spans="1:7" x14ac:dyDescent="0.25">
      <c r="A3" s="29">
        <v>0</v>
      </c>
      <c r="B3" s="29" t="s">
        <v>73</v>
      </c>
      <c r="C3" s="29">
        <v>0</v>
      </c>
      <c r="D3" s="23"/>
      <c r="E3" s="22">
        <v>0</v>
      </c>
      <c r="F3" s="30">
        <v>1</v>
      </c>
      <c r="G3" s="24"/>
    </row>
    <row r="4" spans="1:7" x14ac:dyDescent="0.25">
      <c r="A4" s="29">
        <v>4</v>
      </c>
      <c r="B4" s="29" t="s">
        <v>72</v>
      </c>
      <c r="C4" s="29">
        <v>1</v>
      </c>
      <c r="D4" s="23"/>
      <c r="E4" s="22">
        <v>1</v>
      </c>
      <c r="F4" s="30">
        <v>0.5</v>
      </c>
      <c r="G4" s="24"/>
    </row>
    <row r="5" spans="1:7" x14ac:dyDescent="0.25">
      <c r="A5" s="29">
        <v>5</v>
      </c>
      <c r="B5" s="29" t="s">
        <v>71</v>
      </c>
      <c r="C5" s="29">
        <v>1.5</v>
      </c>
      <c r="D5" s="23"/>
      <c r="E5" s="22">
        <v>2</v>
      </c>
      <c r="F5" s="30">
        <v>0.25</v>
      </c>
      <c r="G5" s="24"/>
    </row>
    <row r="6" spans="1:7" x14ac:dyDescent="0.25">
      <c r="A6" s="29">
        <v>5.5</v>
      </c>
      <c r="B6" s="29" t="s">
        <v>69</v>
      </c>
      <c r="C6" s="29">
        <v>2</v>
      </c>
      <c r="D6" s="23"/>
      <c r="E6" s="23"/>
      <c r="F6" s="25"/>
      <c r="G6" s="24"/>
    </row>
    <row r="7" spans="1:7" x14ac:dyDescent="0.25">
      <c r="A7" s="29">
        <v>6.5</v>
      </c>
      <c r="B7" s="29" t="s">
        <v>68</v>
      </c>
      <c r="C7" s="29">
        <v>2.5</v>
      </c>
      <c r="D7" s="23"/>
      <c r="E7" s="23"/>
      <c r="F7" s="25"/>
      <c r="G7" s="24"/>
    </row>
    <row r="8" spans="1:7" x14ac:dyDescent="0.25">
      <c r="A8" s="29">
        <v>7</v>
      </c>
      <c r="B8" s="29" t="s">
        <v>70</v>
      </c>
      <c r="C8" s="29">
        <v>3</v>
      </c>
      <c r="D8" s="23"/>
      <c r="E8" s="23"/>
      <c r="F8" s="25"/>
      <c r="G8" s="24"/>
    </row>
    <row r="9" spans="1:7" x14ac:dyDescent="0.25">
      <c r="A9" s="29">
        <v>8</v>
      </c>
      <c r="B9" s="29" t="s">
        <v>67</v>
      </c>
      <c r="C9" s="29">
        <v>3.5</v>
      </c>
      <c r="D9" s="23"/>
      <c r="E9" s="23"/>
      <c r="F9" s="25"/>
      <c r="G9" s="24"/>
    </row>
    <row r="10" spans="1:7" x14ac:dyDescent="0.25">
      <c r="A10" s="29">
        <v>9</v>
      </c>
      <c r="B10" s="29" t="s">
        <v>66</v>
      </c>
      <c r="C10" s="29">
        <v>4</v>
      </c>
      <c r="D10" s="23"/>
      <c r="E10" s="23"/>
      <c r="F10" s="25"/>
      <c r="G10" s="24"/>
    </row>
    <row r="11" spans="1:7" x14ac:dyDescent="0.25">
      <c r="A11" s="67"/>
      <c r="B11" s="68"/>
      <c r="C11" s="69"/>
      <c r="D11" s="23"/>
      <c r="E11" s="67"/>
      <c r="F11" s="69"/>
    </row>
    <row r="12" spans="1:7" x14ac:dyDescent="0.25">
      <c r="A12" s="56" t="s">
        <v>74</v>
      </c>
      <c r="B12" s="70"/>
      <c r="C12" s="57"/>
      <c r="D12" s="23"/>
      <c r="E12" s="56" t="s">
        <v>75</v>
      </c>
      <c r="F12" s="57"/>
    </row>
    <row r="13" spans="1:7" s="19" customFormat="1" ht="31.5" x14ac:dyDescent="0.25">
      <c r="A13" s="27" t="s">
        <v>10</v>
      </c>
      <c r="B13" s="71" t="s">
        <v>11</v>
      </c>
      <c r="C13" s="71" t="s">
        <v>12</v>
      </c>
      <c r="D13" s="22"/>
      <c r="E13" s="27" t="s">
        <v>20</v>
      </c>
      <c r="F13" s="31" t="s">
        <v>76</v>
      </c>
    </row>
    <row r="14" spans="1:7" x14ac:dyDescent="0.25">
      <c r="A14" s="40">
        <v>1</v>
      </c>
      <c r="B14" s="42" t="s">
        <v>116</v>
      </c>
      <c r="C14" s="42" t="s">
        <v>117</v>
      </c>
      <c r="D14" s="43"/>
      <c r="E14" s="22" t="s">
        <v>66</v>
      </c>
      <c r="F14" s="35">
        <f>COUNTIF('Tổng hợp điểm'!$K$7:$K$45, E14)</f>
        <v>1</v>
      </c>
    </row>
    <row r="15" spans="1:7" x14ac:dyDescent="0.25">
      <c r="A15" s="40">
        <v>2</v>
      </c>
      <c r="B15" s="42" t="s">
        <v>39</v>
      </c>
      <c r="C15" s="42" t="s">
        <v>52</v>
      </c>
      <c r="D15" s="43"/>
      <c r="E15" s="22" t="s">
        <v>67</v>
      </c>
      <c r="F15" s="35">
        <f>COUNTIF('Tổng hợp điểm'!$K$7:$K$45, E15)</f>
        <v>5</v>
      </c>
    </row>
    <row r="16" spans="1:7" x14ac:dyDescent="0.25">
      <c r="A16" s="40">
        <v>3</v>
      </c>
      <c r="B16" s="42" t="s">
        <v>133</v>
      </c>
      <c r="C16" s="42" t="s">
        <v>134</v>
      </c>
      <c r="D16" s="43"/>
      <c r="E16" s="22" t="s">
        <v>70</v>
      </c>
      <c r="F16" s="35">
        <f>COUNTIF('Tổng hợp điểm'!$K$7:$K$45, E16)</f>
        <v>7</v>
      </c>
    </row>
    <row r="17" spans="1:6" x14ac:dyDescent="0.25">
      <c r="A17" s="40">
        <v>4</v>
      </c>
      <c r="B17" s="42" t="s">
        <v>49</v>
      </c>
      <c r="C17" s="42" t="s">
        <v>122</v>
      </c>
      <c r="D17" s="43"/>
      <c r="E17" s="22" t="s">
        <v>68</v>
      </c>
      <c r="F17" s="35">
        <f>COUNTIF('Tổng hợp điểm'!$K$7:$K$45, E17)</f>
        <v>6</v>
      </c>
    </row>
    <row r="18" spans="1:6" x14ac:dyDescent="0.25">
      <c r="A18" s="40">
        <v>5</v>
      </c>
      <c r="B18" s="42" t="s">
        <v>131</v>
      </c>
      <c r="C18" s="42" t="s">
        <v>132</v>
      </c>
      <c r="D18" s="43"/>
      <c r="E18" s="22" t="s">
        <v>69</v>
      </c>
      <c r="F18" s="35">
        <f>COUNTIF('Tổng hợp điểm'!$K$7:$K$45, E18)</f>
        <v>9</v>
      </c>
    </row>
    <row r="19" spans="1:6" x14ac:dyDescent="0.25">
      <c r="A19" s="40">
        <v>6</v>
      </c>
      <c r="B19" s="42" t="s">
        <v>129</v>
      </c>
      <c r="C19" s="42" t="s">
        <v>130</v>
      </c>
      <c r="D19" s="43"/>
      <c r="E19" s="22" t="s">
        <v>71</v>
      </c>
      <c r="F19" s="35">
        <f>COUNTIF('Tổng hợp điểm'!$K$7:$K$45, E19)</f>
        <v>1</v>
      </c>
    </row>
    <row r="20" spans="1:6" x14ac:dyDescent="0.25">
      <c r="A20" s="40">
        <v>7</v>
      </c>
      <c r="B20" s="42" t="s">
        <v>155</v>
      </c>
      <c r="C20" s="42" t="s">
        <v>156</v>
      </c>
      <c r="D20" s="43"/>
      <c r="E20" s="22" t="s">
        <v>72</v>
      </c>
      <c r="F20" s="35">
        <f>COUNTIF('Tổng hợp điểm'!$K$7:$K$45, E20)</f>
        <v>1</v>
      </c>
    </row>
    <row r="21" spans="1:6" x14ac:dyDescent="0.25">
      <c r="A21" s="40">
        <v>8</v>
      </c>
      <c r="B21" s="42" t="s">
        <v>43</v>
      </c>
      <c r="C21" s="42" t="s">
        <v>111</v>
      </c>
      <c r="D21" s="43"/>
      <c r="E21" s="22" t="s">
        <v>73</v>
      </c>
      <c r="F21" s="35">
        <f>COUNTIF('Tổng hợp điểm'!$K$7:$K$45, E21)</f>
        <v>9</v>
      </c>
    </row>
    <row r="22" spans="1:6" x14ac:dyDescent="0.25">
      <c r="A22" s="40">
        <v>9</v>
      </c>
      <c r="B22" s="42" t="s">
        <v>139</v>
      </c>
      <c r="C22" s="42" t="s">
        <v>140</v>
      </c>
      <c r="D22" s="43"/>
      <c r="E22" s="23"/>
      <c r="F22" s="23"/>
    </row>
    <row r="23" spans="1:6" x14ac:dyDescent="0.25">
      <c r="A23" s="40">
        <v>10</v>
      </c>
      <c r="B23" s="42" t="s">
        <v>127</v>
      </c>
      <c r="C23" s="42" t="s">
        <v>128</v>
      </c>
      <c r="D23" s="43"/>
      <c r="E23" s="56" t="s">
        <v>77</v>
      </c>
      <c r="F23" s="57"/>
    </row>
    <row r="24" spans="1:6" x14ac:dyDescent="0.25">
      <c r="A24" s="40">
        <v>11</v>
      </c>
      <c r="B24" s="42" t="s">
        <v>42</v>
      </c>
      <c r="C24" s="42" t="s">
        <v>54</v>
      </c>
      <c r="D24" s="43"/>
      <c r="E24" s="58" t="s">
        <v>78</v>
      </c>
      <c r="F24" s="61">
        <f>COUNTIFS('Tổng hợp điểm'!$G$7:$G$45, 0) + COUNTIFS('Tổng hợp điểm'!$H$7:$H$45, -3) - COUNTIFS('Tổng hợp điểm'!$G$7:$G$45, 0, 'Tổng hợp điểm'!$H$7:$H$45, -3)</f>
        <v>9</v>
      </c>
    </row>
    <row r="25" spans="1:6" x14ac:dyDescent="0.25">
      <c r="A25" s="40">
        <v>12</v>
      </c>
      <c r="B25" s="42" t="s">
        <v>125</v>
      </c>
      <c r="C25" s="42" t="s">
        <v>126</v>
      </c>
      <c r="D25" s="43"/>
      <c r="E25" s="59"/>
      <c r="F25" s="62"/>
    </row>
    <row r="26" spans="1:6" x14ac:dyDescent="0.25">
      <c r="A26" s="40">
        <v>13</v>
      </c>
      <c r="B26" s="42" t="s">
        <v>40</v>
      </c>
      <c r="C26" s="42" t="s">
        <v>53</v>
      </c>
      <c r="D26" s="43"/>
      <c r="E26" s="60"/>
      <c r="F26" s="63"/>
    </row>
    <row r="27" spans="1:6" x14ac:dyDescent="0.25">
      <c r="A27" s="40">
        <v>14</v>
      </c>
      <c r="B27" s="42" t="s">
        <v>37</v>
      </c>
      <c r="C27" s="42" t="s">
        <v>50</v>
      </c>
      <c r="D27" s="43"/>
      <c r="E27" s="33" t="s">
        <v>79</v>
      </c>
      <c r="F27" s="35">
        <f>COUNTIFS('Tổng hợp điểm'!$J$7:$J$45, "&gt;=7", 'Tổng hợp điểm'!$K$7:$K$45, "B+") + COUNTIFS('Tổng hợp điểm'!$J$7:$J$45, "&gt;=7", 'Tổng hợp điểm'!$K$7:$K$45, "A")</f>
        <v>6</v>
      </c>
    </row>
    <row r="28" spans="1:6" x14ac:dyDescent="0.25">
      <c r="A28" s="40">
        <v>15</v>
      </c>
      <c r="B28" s="42" t="s">
        <v>123</v>
      </c>
      <c r="C28" s="42" t="s">
        <v>124</v>
      </c>
    </row>
    <row r="29" spans="1:6" x14ac:dyDescent="0.25">
      <c r="A29" s="40">
        <v>16</v>
      </c>
      <c r="B29" s="42" t="s">
        <v>135</v>
      </c>
      <c r="C29" s="42" t="s">
        <v>136</v>
      </c>
    </row>
    <row r="30" spans="1:6" x14ac:dyDescent="0.25">
      <c r="A30" s="40">
        <v>17</v>
      </c>
      <c r="B30" s="42" t="s">
        <v>153</v>
      </c>
      <c r="C30" s="42" t="s">
        <v>154</v>
      </c>
    </row>
    <row r="31" spans="1:6" x14ac:dyDescent="0.25">
      <c r="A31" s="40">
        <v>18</v>
      </c>
      <c r="B31" s="42" t="s">
        <v>118</v>
      </c>
      <c r="C31" s="42" t="s">
        <v>119</v>
      </c>
    </row>
    <row r="32" spans="1:6" x14ac:dyDescent="0.25">
      <c r="A32" s="40">
        <v>19</v>
      </c>
      <c r="B32" s="42" t="s">
        <v>46</v>
      </c>
      <c r="C32" s="42" t="s">
        <v>55</v>
      </c>
    </row>
    <row r="33" spans="1:3" x14ac:dyDescent="0.25">
      <c r="A33" s="40">
        <v>20</v>
      </c>
      <c r="B33" s="42" t="s">
        <v>149</v>
      </c>
      <c r="C33" s="42" t="s">
        <v>150</v>
      </c>
    </row>
    <row r="34" spans="1:3" x14ac:dyDescent="0.25">
      <c r="A34" s="40">
        <v>21</v>
      </c>
      <c r="B34" s="42" t="s">
        <v>47</v>
      </c>
      <c r="C34" s="42" t="s">
        <v>56</v>
      </c>
    </row>
    <row r="35" spans="1:3" x14ac:dyDescent="0.25">
      <c r="A35" s="40">
        <v>22</v>
      </c>
      <c r="B35" s="42" t="s">
        <v>120</v>
      </c>
      <c r="C35" s="42" t="s">
        <v>121</v>
      </c>
    </row>
    <row r="36" spans="1:3" x14ac:dyDescent="0.25">
      <c r="A36" s="40">
        <v>23</v>
      </c>
      <c r="B36" s="42" t="s">
        <v>141</v>
      </c>
      <c r="C36" s="42" t="s">
        <v>142</v>
      </c>
    </row>
    <row r="37" spans="1:3" x14ac:dyDescent="0.25">
      <c r="A37" s="40">
        <v>24</v>
      </c>
      <c r="B37" s="42" t="s">
        <v>38</v>
      </c>
      <c r="C37" s="42" t="s">
        <v>51</v>
      </c>
    </row>
    <row r="38" spans="1:3" x14ac:dyDescent="0.25">
      <c r="A38" s="40">
        <v>25</v>
      </c>
      <c r="B38" s="42" t="s">
        <v>157</v>
      </c>
      <c r="C38" s="42" t="s">
        <v>158</v>
      </c>
    </row>
    <row r="39" spans="1:3" x14ac:dyDescent="0.25">
      <c r="A39" s="40">
        <v>26</v>
      </c>
      <c r="B39" s="42" t="s">
        <v>36</v>
      </c>
      <c r="C39" s="42" t="s">
        <v>105</v>
      </c>
    </row>
    <row r="40" spans="1:3" x14ac:dyDescent="0.25">
      <c r="A40" s="40">
        <v>27</v>
      </c>
      <c r="B40" s="42" t="s">
        <v>147</v>
      </c>
      <c r="C40" s="42" t="s">
        <v>148</v>
      </c>
    </row>
    <row r="41" spans="1:3" x14ac:dyDescent="0.25">
      <c r="A41" s="40">
        <v>28</v>
      </c>
      <c r="B41" s="42" t="s">
        <v>45</v>
      </c>
      <c r="C41" s="42" t="s">
        <v>113</v>
      </c>
    </row>
    <row r="42" spans="1:3" x14ac:dyDescent="0.25">
      <c r="A42" s="40">
        <v>29</v>
      </c>
      <c r="B42" s="42" t="s">
        <v>137</v>
      </c>
      <c r="C42" s="42" t="s">
        <v>138</v>
      </c>
    </row>
    <row r="43" spans="1:3" x14ac:dyDescent="0.25">
      <c r="A43" s="40">
        <v>30</v>
      </c>
      <c r="B43" s="42" t="s">
        <v>41</v>
      </c>
      <c r="C43" s="42" t="s">
        <v>106</v>
      </c>
    </row>
    <row r="44" spans="1:3" x14ac:dyDescent="0.25">
      <c r="A44" s="40">
        <v>31</v>
      </c>
      <c r="B44" s="42" t="s">
        <v>107</v>
      </c>
      <c r="C44" s="42" t="s">
        <v>108</v>
      </c>
    </row>
    <row r="45" spans="1:3" x14ac:dyDescent="0.25">
      <c r="A45" s="40">
        <v>32</v>
      </c>
      <c r="B45" s="42" t="s">
        <v>48</v>
      </c>
      <c r="C45" s="42" t="s">
        <v>57</v>
      </c>
    </row>
    <row r="46" spans="1:3" x14ac:dyDescent="0.25">
      <c r="A46" s="40">
        <v>33</v>
      </c>
      <c r="B46" s="42" t="s">
        <v>143</v>
      </c>
      <c r="C46" s="42" t="s">
        <v>144</v>
      </c>
    </row>
    <row r="47" spans="1:3" x14ac:dyDescent="0.25">
      <c r="A47" s="40">
        <v>34</v>
      </c>
      <c r="B47" s="42" t="s">
        <v>109</v>
      </c>
      <c r="C47" s="42" t="s">
        <v>110</v>
      </c>
    </row>
    <row r="48" spans="1:3" x14ac:dyDescent="0.25">
      <c r="A48" s="40">
        <v>35</v>
      </c>
      <c r="B48" s="42" t="s">
        <v>44</v>
      </c>
      <c r="C48" s="42" t="s">
        <v>112</v>
      </c>
    </row>
    <row r="49" spans="1:3" x14ac:dyDescent="0.25">
      <c r="A49" s="40">
        <v>36</v>
      </c>
      <c r="B49" s="42" t="s">
        <v>151</v>
      </c>
      <c r="C49" s="42" t="s">
        <v>152</v>
      </c>
    </row>
    <row r="50" spans="1:3" x14ac:dyDescent="0.25">
      <c r="A50" s="40">
        <v>37</v>
      </c>
      <c r="B50" s="42" t="s">
        <v>145</v>
      </c>
      <c r="C50" s="42" t="s">
        <v>146</v>
      </c>
    </row>
    <row r="51" spans="1:3" x14ac:dyDescent="0.25">
      <c r="A51" s="40">
        <v>38</v>
      </c>
      <c r="B51" s="42" t="s">
        <v>159</v>
      </c>
      <c r="C51" s="42" t="s">
        <v>160</v>
      </c>
    </row>
    <row r="52" spans="1:3" x14ac:dyDescent="0.25">
      <c r="A52" s="40">
        <v>39</v>
      </c>
      <c r="B52" s="42" t="s">
        <v>114</v>
      </c>
      <c r="C52" s="42" t="s">
        <v>115</v>
      </c>
    </row>
  </sheetData>
  <mergeCells count="9">
    <mergeCell ref="E23:F23"/>
    <mergeCell ref="E24:E26"/>
    <mergeCell ref="F24:F26"/>
    <mergeCell ref="A1:C1"/>
    <mergeCell ref="E1:F1"/>
    <mergeCell ref="A11:C11"/>
    <mergeCell ref="E11:F11"/>
    <mergeCell ref="A12:C12"/>
    <mergeCell ref="E12:F12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74EE4-C51D-448D-9EEB-826DD7B739D5}">
  <dimension ref="A1:K27"/>
  <sheetViews>
    <sheetView workbookViewId="0">
      <selection activeCell="N3" sqref="N3"/>
    </sheetView>
  </sheetViews>
  <sheetFormatPr defaultRowHeight="14.25" x14ac:dyDescent="0.2"/>
  <cols>
    <col min="1" max="1" width="5" customWidth="1"/>
    <col min="2" max="2" width="11" customWidth="1"/>
    <col min="3" max="3" width="20.875" customWidth="1"/>
    <col min="4" max="5" width="6.375" customWidth="1"/>
    <col min="6" max="8" width="6" customWidth="1"/>
    <col min="9" max="9" width="9.125" customWidth="1"/>
    <col min="10" max="11" width="6.75" customWidth="1"/>
  </cols>
  <sheetData>
    <row r="1" spans="1:11" ht="78.75" x14ac:dyDescent="0.2">
      <c r="A1" s="47" t="s">
        <v>10</v>
      </c>
      <c r="B1" s="48" t="s">
        <v>11</v>
      </c>
      <c r="C1" s="37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19</v>
      </c>
      <c r="K1" s="9" t="s">
        <v>20</v>
      </c>
    </row>
    <row r="2" spans="1:11" ht="15.75" x14ac:dyDescent="0.2">
      <c r="A2" s="41">
        <v>1</v>
      </c>
      <c r="B2" s="42" t="s">
        <v>21</v>
      </c>
      <c r="C2" s="6" t="s">
        <v>105</v>
      </c>
      <c r="D2" s="38">
        <v>0.45</v>
      </c>
      <c r="E2" s="45">
        <v>0.25</v>
      </c>
      <c r="F2" s="38">
        <v>0.3</v>
      </c>
      <c r="G2" s="38">
        <v>0.5</v>
      </c>
      <c r="H2" s="38">
        <v>4.2</v>
      </c>
      <c r="I2" s="34">
        <v>4</v>
      </c>
      <c r="J2" s="38">
        <v>5</v>
      </c>
      <c r="K2" s="38" t="s">
        <v>71</v>
      </c>
    </row>
    <row r="3" spans="1:11" ht="15.75" x14ac:dyDescent="0.2">
      <c r="A3" s="41">
        <v>2</v>
      </c>
      <c r="B3" s="42" t="s">
        <v>22</v>
      </c>
      <c r="C3" s="6" t="s">
        <v>50</v>
      </c>
      <c r="D3" s="38">
        <v>0.5</v>
      </c>
      <c r="E3" s="45">
        <v>0.35</v>
      </c>
      <c r="F3" s="38">
        <v>0.4</v>
      </c>
      <c r="G3" s="38">
        <v>1</v>
      </c>
      <c r="H3" s="38">
        <v>5.8</v>
      </c>
      <c r="I3" s="34">
        <v>5.7</v>
      </c>
      <c r="J3" s="38">
        <v>6.2</v>
      </c>
      <c r="K3" s="38" t="s">
        <v>69</v>
      </c>
    </row>
    <row r="4" spans="1:11" ht="15.75" x14ac:dyDescent="0.2">
      <c r="A4" s="41">
        <v>3</v>
      </c>
      <c r="B4" s="42" t="s">
        <v>23</v>
      </c>
      <c r="C4" s="6" t="s">
        <v>51</v>
      </c>
      <c r="D4" s="38">
        <v>0.25</v>
      </c>
      <c r="E4" s="45">
        <v>0.25</v>
      </c>
      <c r="F4" s="38">
        <v>0.3</v>
      </c>
      <c r="G4" s="38">
        <v>0.5</v>
      </c>
      <c r="H4" s="38">
        <v>5.8</v>
      </c>
      <c r="I4" s="34">
        <v>4.8</v>
      </c>
      <c r="J4" s="38">
        <v>5.8</v>
      </c>
      <c r="K4" s="38" t="s">
        <v>69</v>
      </c>
    </row>
    <row r="5" spans="1:11" ht="15.75" x14ac:dyDescent="0.2">
      <c r="A5" s="41">
        <v>4</v>
      </c>
      <c r="B5" s="42" t="s">
        <v>24</v>
      </c>
      <c r="C5" s="6" t="s">
        <v>52</v>
      </c>
      <c r="D5" s="38">
        <v>0.4</v>
      </c>
      <c r="E5" s="45">
        <v>0.25</v>
      </c>
      <c r="F5" s="38">
        <v>0.35</v>
      </c>
      <c r="G5" s="38">
        <v>1</v>
      </c>
      <c r="H5" s="38">
        <v>4.5</v>
      </c>
      <c r="I5" s="34">
        <v>4.7</v>
      </c>
      <c r="J5" s="38">
        <v>5.7</v>
      </c>
      <c r="K5" s="38" t="s">
        <v>69</v>
      </c>
    </row>
    <row r="6" spans="1:11" ht="15.75" x14ac:dyDescent="0.2">
      <c r="A6" s="41">
        <v>5</v>
      </c>
      <c r="B6" s="42" t="s">
        <v>25</v>
      </c>
      <c r="C6" s="6" t="s">
        <v>53</v>
      </c>
      <c r="D6" s="38">
        <v>0.45</v>
      </c>
      <c r="E6" s="45">
        <v>0.4</v>
      </c>
      <c r="F6" s="38">
        <v>0.35</v>
      </c>
      <c r="G6" s="38">
        <v>0.75</v>
      </c>
      <c r="H6" s="38">
        <v>5.5</v>
      </c>
      <c r="I6" s="34">
        <v>5.3</v>
      </c>
      <c r="J6" s="38">
        <v>5.6</v>
      </c>
      <c r="K6" s="38" t="s">
        <v>69</v>
      </c>
    </row>
    <row r="7" spans="1:11" ht="15.75" x14ac:dyDescent="0.2">
      <c r="A7" s="41">
        <v>7</v>
      </c>
      <c r="B7" s="42" t="s">
        <v>26</v>
      </c>
      <c r="C7" s="6" t="s">
        <v>54</v>
      </c>
      <c r="D7" s="38">
        <v>0.4</v>
      </c>
      <c r="E7" s="45">
        <v>0.4</v>
      </c>
      <c r="F7" s="38">
        <v>0.4</v>
      </c>
      <c r="G7" s="38">
        <v>1</v>
      </c>
      <c r="H7" s="38">
        <v>5.3</v>
      </c>
      <c r="I7" s="34">
        <v>5.4</v>
      </c>
      <c r="J7" s="38">
        <v>6.4</v>
      </c>
      <c r="K7" s="38" t="s">
        <v>69</v>
      </c>
    </row>
    <row r="8" spans="1:11" ht="15.75" x14ac:dyDescent="0.2">
      <c r="A8" s="41">
        <v>9</v>
      </c>
      <c r="B8" s="42" t="s">
        <v>81</v>
      </c>
      <c r="C8" s="6" t="s">
        <v>110</v>
      </c>
      <c r="D8" s="38">
        <v>0.5</v>
      </c>
      <c r="E8" s="45">
        <v>0.4</v>
      </c>
      <c r="F8" s="38">
        <v>0.4</v>
      </c>
      <c r="G8" s="38">
        <v>1</v>
      </c>
      <c r="H8" s="38">
        <v>-3</v>
      </c>
      <c r="I8" s="34">
        <v>0</v>
      </c>
      <c r="J8" s="38">
        <v>0</v>
      </c>
      <c r="K8" s="38" t="s">
        <v>73</v>
      </c>
    </row>
    <row r="9" spans="1:11" ht="15.75" x14ac:dyDescent="0.2">
      <c r="A9" s="41">
        <v>10</v>
      </c>
      <c r="B9" s="42" t="s">
        <v>27</v>
      </c>
      <c r="C9" s="6" t="s">
        <v>111</v>
      </c>
      <c r="D9" s="38">
        <v>0.45</v>
      </c>
      <c r="E9" s="45">
        <v>0.4</v>
      </c>
      <c r="F9" s="38">
        <v>0.45</v>
      </c>
      <c r="G9" s="38">
        <v>0</v>
      </c>
      <c r="H9" s="38">
        <v>6.8</v>
      </c>
      <c r="I9" s="34">
        <v>5.4</v>
      </c>
      <c r="J9" s="38">
        <v>0</v>
      </c>
      <c r="K9" s="38" t="s">
        <v>73</v>
      </c>
    </row>
    <row r="10" spans="1:11" ht="15.75" x14ac:dyDescent="0.2">
      <c r="A10" s="41">
        <v>11</v>
      </c>
      <c r="B10" s="42" t="s">
        <v>28</v>
      </c>
      <c r="C10" s="6" t="s">
        <v>112</v>
      </c>
      <c r="D10" s="38">
        <v>0.45</v>
      </c>
      <c r="E10" s="45">
        <v>0.4</v>
      </c>
      <c r="F10" s="38">
        <v>0.4</v>
      </c>
      <c r="G10" s="38">
        <v>0.75</v>
      </c>
      <c r="H10" s="38">
        <v>6.3</v>
      </c>
      <c r="I10" s="34">
        <v>5.8</v>
      </c>
      <c r="J10" s="38">
        <v>6.8</v>
      </c>
      <c r="K10" s="38" t="s">
        <v>68</v>
      </c>
    </row>
    <row r="11" spans="1:11" ht="15.75" x14ac:dyDescent="0.2">
      <c r="A11" s="41">
        <v>13</v>
      </c>
      <c r="B11" s="42" t="s">
        <v>82</v>
      </c>
      <c r="C11" s="6" t="s">
        <v>115</v>
      </c>
      <c r="D11" s="38">
        <v>0.4</v>
      </c>
      <c r="E11" s="45">
        <v>0.5</v>
      </c>
      <c r="F11" s="38">
        <v>0.5</v>
      </c>
      <c r="G11" s="38">
        <v>1.2</v>
      </c>
      <c r="H11" s="38">
        <v>5.5</v>
      </c>
      <c r="I11" s="34">
        <v>5.9</v>
      </c>
      <c r="J11" s="38">
        <v>6.9</v>
      </c>
      <c r="K11" s="38" t="s">
        <v>68</v>
      </c>
    </row>
    <row r="12" spans="1:11" ht="15.75" x14ac:dyDescent="0.2">
      <c r="A12" s="41">
        <v>14</v>
      </c>
      <c r="B12" s="42" t="s">
        <v>83</v>
      </c>
      <c r="C12" s="6" t="s">
        <v>117</v>
      </c>
      <c r="D12" s="38">
        <v>0.5</v>
      </c>
      <c r="E12" s="45">
        <v>0.5</v>
      </c>
      <c r="F12" s="38">
        <v>0.45</v>
      </c>
      <c r="G12" s="38">
        <v>0.3</v>
      </c>
      <c r="H12" s="38">
        <v>6</v>
      </c>
      <c r="I12" s="34">
        <v>5.4</v>
      </c>
      <c r="J12" s="38">
        <v>6.4</v>
      </c>
      <c r="K12" s="38" t="s">
        <v>69</v>
      </c>
    </row>
    <row r="13" spans="1:11" ht="15.75" x14ac:dyDescent="0.2">
      <c r="A13" s="41">
        <v>15</v>
      </c>
      <c r="B13" s="42" t="s">
        <v>30</v>
      </c>
      <c r="C13" s="6" t="s">
        <v>55</v>
      </c>
      <c r="D13" s="38">
        <v>0.4</v>
      </c>
      <c r="E13" s="45">
        <v>0.45</v>
      </c>
      <c r="F13" s="38">
        <v>0.4</v>
      </c>
      <c r="G13" s="38">
        <v>0.3</v>
      </c>
      <c r="H13" s="38">
        <v>-3</v>
      </c>
      <c r="I13" s="34">
        <v>0</v>
      </c>
      <c r="J13" s="38">
        <v>0</v>
      </c>
      <c r="K13" s="38" t="s">
        <v>73</v>
      </c>
    </row>
    <row r="14" spans="1:11" ht="15.75" x14ac:dyDescent="0.2">
      <c r="A14" s="41">
        <v>16</v>
      </c>
      <c r="B14" s="42" t="s">
        <v>84</v>
      </c>
      <c r="C14" s="6" t="s">
        <v>119</v>
      </c>
      <c r="D14" s="38">
        <v>0.4</v>
      </c>
      <c r="E14" s="45">
        <v>0.45</v>
      </c>
      <c r="F14" s="38">
        <v>0.45</v>
      </c>
      <c r="G14" s="38">
        <v>1</v>
      </c>
      <c r="H14" s="38">
        <v>5.7</v>
      </c>
      <c r="I14" s="34">
        <v>5.7</v>
      </c>
      <c r="J14" s="38">
        <v>6.7</v>
      </c>
      <c r="K14" s="38" t="s">
        <v>68</v>
      </c>
    </row>
    <row r="15" spans="1:11" ht="15.75" x14ac:dyDescent="0.2">
      <c r="A15" s="41">
        <v>18</v>
      </c>
      <c r="B15" s="42" t="s">
        <v>85</v>
      </c>
      <c r="C15" s="6" t="s">
        <v>121</v>
      </c>
      <c r="D15" s="38">
        <v>0.4</v>
      </c>
      <c r="E15" s="45">
        <v>0.4</v>
      </c>
      <c r="F15" s="38">
        <v>0.4</v>
      </c>
      <c r="G15" s="38">
        <v>0.3</v>
      </c>
      <c r="H15" s="38">
        <v>6.5</v>
      </c>
      <c r="I15" s="34">
        <v>5.4</v>
      </c>
      <c r="J15" s="38">
        <v>6.4</v>
      </c>
      <c r="K15" s="38" t="s">
        <v>69</v>
      </c>
    </row>
    <row r="16" spans="1:11" ht="15.75" x14ac:dyDescent="0.2">
      <c r="A16" s="41">
        <v>19</v>
      </c>
      <c r="B16" s="42" t="s">
        <v>32</v>
      </c>
      <c r="C16" s="6" t="s">
        <v>57</v>
      </c>
      <c r="D16" s="38">
        <v>0.4</v>
      </c>
      <c r="E16" s="45">
        <v>0.4</v>
      </c>
      <c r="F16" s="38">
        <v>0.35</v>
      </c>
      <c r="G16" s="38">
        <v>1.35</v>
      </c>
      <c r="H16" s="38">
        <v>-3</v>
      </c>
      <c r="I16" s="34">
        <v>0</v>
      </c>
      <c r="J16" s="38">
        <v>0</v>
      </c>
      <c r="K16" s="38" t="s">
        <v>73</v>
      </c>
    </row>
    <row r="17" spans="1:11" ht="15.75" x14ac:dyDescent="0.2">
      <c r="A17" s="41">
        <v>20</v>
      </c>
      <c r="B17" s="42" t="s">
        <v>33</v>
      </c>
      <c r="C17" s="6" t="s">
        <v>122</v>
      </c>
      <c r="D17" s="38">
        <v>0.35</v>
      </c>
      <c r="E17" s="45">
        <v>0.4</v>
      </c>
      <c r="F17" s="38">
        <v>0</v>
      </c>
      <c r="G17" s="38">
        <v>0.85</v>
      </c>
      <c r="H17" s="38">
        <v>6.5</v>
      </c>
      <c r="I17" s="34">
        <v>5.5</v>
      </c>
      <c r="J17" s="38">
        <v>6.5</v>
      </c>
      <c r="K17" s="38" t="s">
        <v>68</v>
      </c>
    </row>
    <row r="18" spans="1:11" ht="15.75" x14ac:dyDescent="0.2">
      <c r="A18" s="41">
        <v>22</v>
      </c>
      <c r="B18" s="42" t="s">
        <v>87</v>
      </c>
      <c r="C18" s="6" t="s">
        <v>126</v>
      </c>
      <c r="D18" s="38">
        <v>0.4</v>
      </c>
      <c r="E18" s="45">
        <v>0.4</v>
      </c>
      <c r="F18" s="38">
        <v>0.4</v>
      </c>
      <c r="G18" s="38">
        <v>0</v>
      </c>
      <c r="H18" s="38">
        <v>4.5</v>
      </c>
      <c r="I18" s="34">
        <v>3.9</v>
      </c>
      <c r="J18" s="38">
        <v>0</v>
      </c>
      <c r="K18" s="38" t="s">
        <v>73</v>
      </c>
    </row>
    <row r="19" spans="1:11" ht="15.75" x14ac:dyDescent="0.2">
      <c r="A19" s="41">
        <v>25</v>
      </c>
      <c r="B19" s="42" t="s">
        <v>90</v>
      </c>
      <c r="C19" s="6" t="s">
        <v>132</v>
      </c>
      <c r="D19" s="38">
        <v>0.3</v>
      </c>
      <c r="E19" s="45">
        <v>0.3</v>
      </c>
      <c r="F19" s="38">
        <v>0.4</v>
      </c>
      <c r="G19" s="38">
        <v>0.75</v>
      </c>
      <c r="H19" s="38">
        <v>6.8</v>
      </c>
      <c r="I19" s="34">
        <v>5.8</v>
      </c>
      <c r="J19" s="38">
        <v>6.3</v>
      </c>
      <c r="K19" s="38" t="s">
        <v>69</v>
      </c>
    </row>
    <row r="20" spans="1:11" ht="15.75" x14ac:dyDescent="0.2">
      <c r="A20" s="41">
        <v>29</v>
      </c>
      <c r="B20" s="44" t="s">
        <v>94</v>
      </c>
      <c r="C20" s="6" t="s">
        <v>140</v>
      </c>
      <c r="D20" s="38">
        <v>0.5</v>
      </c>
      <c r="E20" s="45">
        <v>0.5</v>
      </c>
      <c r="F20" s="38">
        <v>0.5</v>
      </c>
      <c r="G20" s="38">
        <v>0</v>
      </c>
      <c r="H20" s="38">
        <v>7.7</v>
      </c>
      <c r="I20" s="34">
        <v>6.1</v>
      </c>
      <c r="J20" s="38">
        <v>0</v>
      </c>
      <c r="K20" s="38" t="s">
        <v>73</v>
      </c>
    </row>
    <row r="21" spans="1:11" ht="15.75" x14ac:dyDescent="0.2">
      <c r="A21" s="41">
        <v>30</v>
      </c>
      <c r="B21" s="44" t="s">
        <v>95</v>
      </c>
      <c r="C21" s="6" t="s">
        <v>142</v>
      </c>
      <c r="D21" s="38">
        <v>0.5</v>
      </c>
      <c r="E21" s="45">
        <v>0.4</v>
      </c>
      <c r="F21" s="38">
        <v>0.45</v>
      </c>
      <c r="G21" s="38">
        <v>1</v>
      </c>
      <c r="H21" s="38">
        <v>-3</v>
      </c>
      <c r="I21" s="34">
        <v>0</v>
      </c>
      <c r="J21" s="38">
        <v>0</v>
      </c>
      <c r="K21" s="38" t="s">
        <v>73</v>
      </c>
    </row>
    <row r="22" spans="1:11" ht="15.75" x14ac:dyDescent="0.2">
      <c r="A22" s="41">
        <v>33</v>
      </c>
      <c r="B22" s="44" t="s">
        <v>98</v>
      </c>
      <c r="C22" s="6" t="s">
        <v>148</v>
      </c>
      <c r="D22" s="38">
        <v>0.4</v>
      </c>
      <c r="E22" s="45">
        <v>0.45</v>
      </c>
      <c r="F22" s="38">
        <v>0.45</v>
      </c>
      <c r="G22" s="38">
        <v>1</v>
      </c>
      <c r="H22" s="38">
        <v>-3</v>
      </c>
      <c r="I22" s="34">
        <v>0</v>
      </c>
      <c r="J22" s="38">
        <v>0</v>
      </c>
      <c r="K22" s="38" t="s">
        <v>73</v>
      </c>
    </row>
    <row r="23" spans="1:11" ht="15.75" x14ac:dyDescent="0.2">
      <c r="A23" s="41">
        <v>35</v>
      </c>
      <c r="B23" s="44" t="s">
        <v>100</v>
      </c>
      <c r="C23" s="6" t="s">
        <v>152</v>
      </c>
      <c r="D23" s="38">
        <v>0.5</v>
      </c>
      <c r="E23" s="45">
        <v>0</v>
      </c>
      <c r="F23" s="38">
        <v>0</v>
      </c>
      <c r="G23" s="38">
        <v>0</v>
      </c>
      <c r="H23" s="38">
        <v>7.5</v>
      </c>
      <c r="I23" s="34">
        <v>5</v>
      </c>
      <c r="J23" s="38">
        <v>0</v>
      </c>
      <c r="K23" s="38" t="s">
        <v>73</v>
      </c>
    </row>
    <row r="24" spans="1:11" ht="15.75" x14ac:dyDescent="0.2">
      <c r="A24" s="41">
        <v>36</v>
      </c>
      <c r="B24" s="44" t="s">
        <v>101</v>
      </c>
      <c r="C24" s="6" t="s">
        <v>154</v>
      </c>
      <c r="D24" s="38">
        <v>0.5</v>
      </c>
      <c r="E24" s="45">
        <v>0.35</v>
      </c>
      <c r="F24" s="38">
        <v>0.45</v>
      </c>
      <c r="G24" s="38">
        <v>0.5</v>
      </c>
      <c r="H24" s="38">
        <v>5.5</v>
      </c>
      <c r="I24" s="34">
        <v>5.0999999999999996</v>
      </c>
      <c r="J24" s="38">
        <v>5.6</v>
      </c>
      <c r="K24" s="38" t="s">
        <v>69</v>
      </c>
    </row>
    <row r="25" spans="1:11" ht="15.75" x14ac:dyDescent="0.2">
      <c r="A25" s="41">
        <v>37</v>
      </c>
      <c r="B25" s="44" t="s">
        <v>102</v>
      </c>
      <c r="C25" s="6" t="s">
        <v>156</v>
      </c>
      <c r="D25" s="38">
        <v>0.5</v>
      </c>
      <c r="E25" s="45">
        <v>0.4</v>
      </c>
      <c r="F25" s="38">
        <v>0.4</v>
      </c>
      <c r="G25" s="38">
        <v>0.3</v>
      </c>
      <c r="H25" s="38">
        <v>6.7</v>
      </c>
      <c r="I25" s="34">
        <v>5.6</v>
      </c>
      <c r="J25" s="38">
        <v>6.6</v>
      </c>
      <c r="K25" s="38" t="s">
        <v>68</v>
      </c>
    </row>
    <row r="26" spans="1:11" ht="15.75" x14ac:dyDescent="0.2">
      <c r="A26" s="41">
        <v>38</v>
      </c>
      <c r="B26" s="44" t="s">
        <v>103</v>
      </c>
      <c r="C26" s="6" t="s">
        <v>158</v>
      </c>
      <c r="D26" s="38">
        <v>0.3</v>
      </c>
      <c r="E26" s="45">
        <v>0.4</v>
      </c>
      <c r="F26" s="38">
        <v>0.45</v>
      </c>
      <c r="G26" s="38">
        <v>1</v>
      </c>
      <c r="H26" s="38">
        <v>5.5</v>
      </c>
      <c r="I26" s="34">
        <v>5.5</v>
      </c>
      <c r="J26" s="38">
        <v>6.5</v>
      </c>
      <c r="K26" s="38" t="s">
        <v>68</v>
      </c>
    </row>
    <row r="27" spans="1:11" ht="15.75" x14ac:dyDescent="0.2">
      <c r="A27" s="41">
        <v>39</v>
      </c>
      <c r="B27" s="44" t="s">
        <v>104</v>
      </c>
      <c r="C27" s="6" t="s">
        <v>160</v>
      </c>
      <c r="D27" s="38">
        <v>0.4</v>
      </c>
      <c r="E27" s="45">
        <v>0.4</v>
      </c>
      <c r="F27" s="38">
        <v>0.4</v>
      </c>
      <c r="G27" s="38">
        <v>0.75</v>
      </c>
      <c r="H27" s="38">
        <v>3.2</v>
      </c>
      <c r="I27" s="34">
        <v>3.9</v>
      </c>
      <c r="J27" s="38">
        <v>4.4000000000000004</v>
      </c>
      <c r="K27" s="38" t="s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C324E-E390-43A0-992E-82A5928010AD}">
  <dimension ref="A1:K14"/>
  <sheetViews>
    <sheetView workbookViewId="0">
      <selection activeCell="N13" sqref="N13"/>
    </sheetView>
  </sheetViews>
  <sheetFormatPr defaultRowHeight="14.25" x14ac:dyDescent="0.2"/>
  <cols>
    <col min="1" max="1" width="5" customWidth="1"/>
    <col min="2" max="2" width="11" customWidth="1"/>
    <col min="3" max="3" width="20.875" customWidth="1"/>
    <col min="4" max="5" width="6.375" customWidth="1"/>
    <col min="6" max="8" width="6" customWidth="1"/>
    <col min="9" max="9" width="9.125" customWidth="1"/>
    <col min="10" max="11" width="6.75" customWidth="1"/>
  </cols>
  <sheetData>
    <row r="1" spans="1:11" ht="78.75" x14ac:dyDescent="0.2">
      <c r="A1" s="47" t="s">
        <v>10</v>
      </c>
      <c r="B1" s="48" t="s">
        <v>11</v>
      </c>
      <c r="C1" s="37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19</v>
      </c>
      <c r="K1" s="9" t="s">
        <v>20</v>
      </c>
    </row>
    <row r="2" spans="1:11" ht="15.75" x14ac:dyDescent="0.2">
      <c r="A2" s="41">
        <v>6</v>
      </c>
      <c r="B2" s="42" t="s">
        <v>34</v>
      </c>
      <c r="C2" s="6" t="s">
        <v>106</v>
      </c>
      <c r="D2" s="38">
        <v>0.4</v>
      </c>
      <c r="E2" s="45">
        <v>0.45</v>
      </c>
      <c r="F2" s="38">
        <v>0.5</v>
      </c>
      <c r="G2" s="38">
        <v>1.2</v>
      </c>
      <c r="H2" s="38">
        <v>7.5</v>
      </c>
      <c r="I2" s="34">
        <v>7.1</v>
      </c>
      <c r="J2" s="38">
        <v>8.1</v>
      </c>
      <c r="K2" s="38" t="s">
        <v>67</v>
      </c>
    </row>
    <row r="3" spans="1:11" ht="15.75" x14ac:dyDescent="0.2">
      <c r="A3" s="41">
        <v>8</v>
      </c>
      <c r="B3" s="42" t="s">
        <v>80</v>
      </c>
      <c r="C3" s="6" t="s">
        <v>108</v>
      </c>
      <c r="D3" s="38">
        <v>0.45</v>
      </c>
      <c r="E3" s="45">
        <v>0.4</v>
      </c>
      <c r="F3" s="38">
        <v>0.4</v>
      </c>
      <c r="G3" s="38">
        <v>1</v>
      </c>
      <c r="H3" s="38">
        <v>7.7</v>
      </c>
      <c r="I3" s="34">
        <v>6.9</v>
      </c>
      <c r="J3" s="38">
        <v>7.9</v>
      </c>
      <c r="K3" s="38" t="s">
        <v>70</v>
      </c>
    </row>
    <row r="4" spans="1:11" s="36" customFormat="1" ht="15.75" x14ac:dyDescent="0.2">
      <c r="A4" s="41">
        <v>12</v>
      </c>
      <c r="B4" s="42" t="s">
        <v>29</v>
      </c>
      <c r="C4" s="6" t="s">
        <v>113</v>
      </c>
      <c r="D4" s="38">
        <v>0.3</v>
      </c>
      <c r="E4" s="45">
        <v>0.5</v>
      </c>
      <c r="F4" s="38">
        <v>0.45</v>
      </c>
      <c r="G4" s="38">
        <v>0.3</v>
      </c>
      <c r="H4" s="38">
        <v>8.3000000000000007</v>
      </c>
      <c r="I4" s="34">
        <v>6.5</v>
      </c>
      <c r="J4" s="38">
        <v>7</v>
      </c>
      <c r="K4" s="38" t="s">
        <v>70</v>
      </c>
    </row>
    <row r="5" spans="1:11" ht="15.75" x14ac:dyDescent="0.2">
      <c r="A5" s="41">
        <v>17</v>
      </c>
      <c r="B5" s="42" t="s">
        <v>31</v>
      </c>
      <c r="C5" s="6" t="s">
        <v>56</v>
      </c>
      <c r="D5" s="38">
        <v>0.5</v>
      </c>
      <c r="E5" s="45">
        <v>0.5</v>
      </c>
      <c r="F5" s="38">
        <v>0.45</v>
      </c>
      <c r="G5" s="38">
        <v>1.5</v>
      </c>
      <c r="H5" s="38">
        <v>7</v>
      </c>
      <c r="I5" s="34">
        <v>7.2</v>
      </c>
      <c r="J5" s="38">
        <v>7.5</v>
      </c>
      <c r="K5" s="38" t="s">
        <v>70</v>
      </c>
    </row>
    <row r="6" spans="1:11" ht="15.75" x14ac:dyDescent="0.2">
      <c r="A6" s="41">
        <v>21</v>
      </c>
      <c r="B6" s="42" t="s">
        <v>86</v>
      </c>
      <c r="C6" s="6" t="s">
        <v>124</v>
      </c>
      <c r="D6" s="38">
        <v>0.5</v>
      </c>
      <c r="E6" s="45">
        <v>0.4</v>
      </c>
      <c r="F6" s="38">
        <v>0.45</v>
      </c>
      <c r="G6" s="38">
        <v>1.35</v>
      </c>
      <c r="H6" s="38">
        <v>6.7</v>
      </c>
      <c r="I6" s="34">
        <v>6.7</v>
      </c>
      <c r="J6" s="38">
        <v>7.7</v>
      </c>
      <c r="K6" s="38" t="s">
        <v>70</v>
      </c>
    </row>
    <row r="7" spans="1:11" ht="15.75" x14ac:dyDescent="0.2">
      <c r="A7" s="49">
        <v>23</v>
      </c>
      <c r="B7" s="50" t="s">
        <v>88</v>
      </c>
      <c r="C7" s="6" t="s">
        <v>128</v>
      </c>
      <c r="D7" s="38">
        <v>0.5</v>
      </c>
      <c r="E7" s="45">
        <v>0.5</v>
      </c>
      <c r="F7" s="38">
        <v>0.5</v>
      </c>
      <c r="G7" s="38">
        <v>1.5</v>
      </c>
      <c r="H7" s="38">
        <v>7.5</v>
      </c>
      <c r="I7" s="34">
        <v>7.5</v>
      </c>
      <c r="J7" s="38">
        <v>8.5</v>
      </c>
      <c r="K7" s="38" t="s">
        <v>67</v>
      </c>
    </row>
    <row r="8" spans="1:11" ht="15.75" x14ac:dyDescent="0.2">
      <c r="A8" s="41">
        <v>24</v>
      </c>
      <c r="B8" s="44" t="s">
        <v>89</v>
      </c>
      <c r="C8" s="6" t="s">
        <v>130</v>
      </c>
      <c r="D8" s="38">
        <v>0.45</v>
      </c>
      <c r="E8" s="45">
        <v>0.3</v>
      </c>
      <c r="F8" s="38">
        <v>0.45</v>
      </c>
      <c r="G8" s="38">
        <v>1.2</v>
      </c>
      <c r="H8" s="38">
        <v>8.8000000000000007</v>
      </c>
      <c r="I8" s="34">
        <v>7.7</v>
      </c>
      <c r="J8" s="38">
        <v>8</v>
      </c>
      <c r="K8" s="38" t="s">
        <v>67</v>
      </c>
    </row>
    <row r="9" spans="1:11" ht="15.75" x14ac:dyDescent="0.2">
      <c r="A9" s="41">
        <v>26</v>
      </c>
      <c r="B9" s="44" t="s">
        <v>91</v>
      </c>
      <c r="C9" s="6" t="s">
        <v>134</v>
      </c>
      <c r="D9" s="38">
        <v>0.5</v>
      </c>
      <c r="E9" s="45">
        <v>0.3</v>
      </c>
      <c r="F9" s="38">
        <v>0.45</v>
      </c>
      <c r="G9" s="38">
        <v>1</v>
      </c>
      <c r="H9" s="38">
        <v>7.8</v>
      </c>
      <c r="I9" s="34">
        <v>6.9</v>
      </c>
      <c r="J9" s="38">
        <v>7.9</v>
      </c>
      <c r="K9" s="38" t="s">
        <v>70</v>
      </c>
    </row>
    <row r="10" spans="1:11" ht="15.75" x14ac:dyDescent="0.2">
      <c r="A10" s="41">
        <v>27</v>
      </c>
      <c r="B10" s="44" t="s">
        <v>92</v>
      </c>
      <c r="C10" s="6" t="s">
        <v>136</v>
      </c>
      <c r="D10" s="38">
        <v>0.5</v>
      </c>
      <c r="E10" s="45">
        <v>0.4</v>
      </c>
      <c r="F10" s="38">
        <v>0.45</v>
      </c>
      <c r="G10" s="38">
        <v>1.5</v>
      </c>
      <c r="H10" s="38">
        <v>8.8000000000000007</v>
      </c>
      <c r="I10" s="34">
        <v>8.1</v>
      </c>
      <c r="J10" s="38">
        <v>9.1</v>
      </c>
      <c r="K10" s="38" t="s">
        <v>66</v>
      </c>
    </row>
    <row r="11" spans="1:11" ht="15.75" x14ac:dyDescent="0.2">
      <c r="A11" s="41">
        <v>28</v>
      </c>
      <c r="B11" s="44" t="s">
        <v>93</v>
      </c>
      <c r="C11" s="6" t="s">
        <v>138</v>
      </c>
      <c r="D11" s="38">
        <v>0.5</v>
      </c>
      <c r="E11" s="45">
        <v>0.45</v>
      </c>
      <c r="F11" s="38">
        <v>0.45</v>
      </c>
      <c r="G11" s="38">
        <v>1</v>
      </c>
      <c r="H11" s="38">
        <v>7.8</v>
      </c>
      <c r="I11" s="34">
        <v>7.1</v>
      </c>
      <c r="J11" s="38">
        <v>8.1</v>
      </c>
      <c r="K11" s="38" t="s">
        <v>67</v>
      </c>
    </row>
    <row r="12" spans="1:11" ht="15.75" x14ac:dyDescent="0.2">
      <c r="A12" s="41">
        <v>31</v>
      </c>
      <c r="B12" s="44" t="s">
        <v>96</v>
      </c>
      <c r="C12" s="6" t="s">
        <v>144</v>
      </c>
      <c r="D12" s="38">
        <v>0.4</v>
      </c>
      <c r="E12" s="45">
        <v>0.5</v>
      </c>
      <c r="F12" s="38">
        <v>0.5</v>
      </c>
      <c r="G12" s="38">
        <v>1</v>
      </c>
      <c r="H12" s="38">
        <v>9.1999999999999993</v>
      </c>
      <c r="I12" s="34">
        <v>7.9</v>
      </c>
      <c r="J12" s="38">
        <v>8.9</v>
      </c>
      <c r="K12" s="38" t="s">
        <v>67</v>
      </c>
    </row>
    <row r="13" spans="1:11" ht="15.75" x14ac:dyDescent="0.2">
      <c r="A13" s="41">
        <v>32</v>
      </c>
      <c r="B13" s="44" t="s">
        <v>97</v>
      </c>
      <c r="C13" s="6" t="s">
        <v>146</v>
      </c>
      <c r="D13" s="38">
        <v>0.4</v>
      </c>
      <c r="E13" s="45">
        <v>0.4</v>
      </c>
      <c r="F13" s="38">
        <v>0.45</v>
      </c>
      <c r="G13" s="38">
        <v>1</v>
      </c>
      <c r="H13" s="38">
        <v>7.5</v>
      </c>
      <c r="I13" s="34">
        <v>6.8</v>
      </c>
      <c r="J13" s="38">
        <v>7.8</v>
      </c>
      <c r="K13" s="38" t="s">
        <v>70</v>
      </c>
    </row>
    <row r="14" spans="1:11" ht="15.75" x14ac:dyDescent="0.2">
      <c r="A14" s="41">
        <v>34</v>
      </c>
      <c r="B14" s="44" t="s">
        <v>99</v>
      </c>
      <c r="C14" s="6" t="s">
        <v>150</v>
      </c>
      <c r="D14" s="38">
        <v>0.4</v>
      </c>
      <c r="E14" s="45">
        <v>0</v>
      </c>
      <c r="F14" s="38">
        <v>0.45</v>
      </c>
      <c r="G14" s="38">
        <v>0.75</v>
      </c>
      <c r="H14" s="38">
        <v>8.3000000000000007</v>
      </c>
      <c r="I14" s="34">
        <v>6.6</v>
      </c>
      <c r="J14" s="38">
        <v>7.1</v>
      </c>
      <c r="K14" s="3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Tổng hợp điểm</vt:lpstr>
      <vt:lpstr>Điểm thực hành các buổi</vt:lpstr>
      <vt:lpstr>Điểm bài tập lớn</vt:lpstr>
      <vt:lpstr>Điểm lý thuyết</vt:lpstr>
      <vt:lpstr>Các bảng tham chiếu &amp; Thống kê</vt:lpstr>
      <vt:lpstr>Sinh viên điểm &lt; 7</vt:lpstr>
      <vt:lpstr>Sinh viên điểm &gt;=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TNT_Tus</dc:creator>
  <cp:lastModifiedBy>TNT_Tus</cp:lastModifiedBy>
  <cp:lastPrinted>2026-09-23T16:18:45Z</cp:lastPrinted>
  <dcterms:created xsi:type="dcterms:W3CDTF">2026-09-19T03:13:42Z</dcterms:created>
  <dcterms:modified xsi:type="dcterms:W3CDTF">2026-09-24T02:56:16Z</dcterms:modified>
</cp:coreProperties>
</file>